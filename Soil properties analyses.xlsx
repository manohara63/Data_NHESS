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D work\Objective 2\Github files\Catena submission\"/>
    </mc:Choice>
  </mc:AlternateContent>
  <xr:revisionPtr revIDLastSave="0" documentId="13_ncr:1_{BDE536D0-E4F6-4898-9DEB-AEE4AF23BE5B}" xr6:coauthVersionLast="36" xr6:coauthVersionMax="36" xr10:uidLastSave="{00000000-0000-0000-0000-000000000000}"/>
  <bookViews>
    <workbookView xWindow="0" yWindow="0" windowWidth="22260" windowHeight="12645" activeTab="8" xr2:uid="{00000000-000D-0000-FFFF-FFFF00000000}"/>
  </bookViews>
  <sheets>
    <sheet name="Shear strength_with outliers" sheetId="1" r:id="rId1"/>
    <sheet name="k analysis" sheetId="13" r:id="rId2"/>
    <sheet name="Chart1" sheetId="14" r:id="rId3"/>
    <sheet name="Density" sheetId="5" r:id="rId4"/>
    <sheet name="Ground water table" sheetId="7" r:id="rId5"/>
    <sheet name="PSD" sheetId="8" r:id="rId6"/>
    <sheet name="PSD2" sheetId="10" r:id="rId7"/>
    <sheet name="Van Genuchten Parameters" sheetId="11" r:id="rId8"/>
    <sheet name="Sheet1" sheetId="6" r:id="rId9"/>
  </sheets>
  <definedNames>
    <definedName name="_xlchart.v1.0" hidden="1">'k analysis'!$D$2:$D$24</definedName>
    <definedName name="_xlchart.v1.1" hidden="1">'k analysis'!$C$2:$C$24</definedName>
    <definedName name="_xlchart.v1.2" hidden="1">'Van Genuchten Parameters'!$J$3:$J$158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7" l="1"/>
  <c r="C51" i="7"/>
  <c r="C50" i="7"/>
  <c r="J164" i="11" l="1"/>
  <c r="J163" i="11"/>
  <c r="J162" i="11"/>
  <c r="J161" i="11"/>
  <c r="J160" i="11"/>
  <c r="J4" i="11" l="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K165" i="10" l="1"/>
  <c r="L165" i="10"/>
  <c r="M165" i="10"/>
  <c r="J165" i="10"/>
  <c r="D3" i="13" l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" i="13"/>
  <c r="K163" i="10" l="1"/>
  <c r="L163" i="10"/>
  <c r="M163" i="10"/>
  <c r="K164" i="10"/>
  <c r="L164" i="10"/>
  <c r="M164" i="10"/>
  <c r="J164" i="10"/>
  <c r="J163" i="10"/>
  <c r="L161" i="10"/>
  <c r="M161" i="10"/>
  <c r="L162" i="10"/>
  <c r="L166" i="10" s="1"/>
  <c r="M162" i="10"/>
  <c r="M166" i="10" s="1"/>
  <c r="K162" i="10"/>
  <c r="K166" i="10" s="1"/>
  <c r="J162" i="10"/>
  <c r="J166" i="10" s="1"/>
  <c r="K161" i="10"/>
  <c r="J161" i="10"/>
  <c r="M36" i="11"/>
  <c r="M37" i="11"/>
  <c r="M38" i="11"/>
  <c r="M39" i="11"/>
  <c r="M41" i="11"/>
  <c r="M43" i="11"/>
  <c r="M48" i="11"/>
  <c r="M49" i="11"/>
  <c r="M50" i="11"/>
  <c r="M76" i="11"/>
  <c r="M77" i="11"/>
  <c r="M78" i="11"/>
  <c r="M79" i="11"/>
  <c r="M81" i="11"/>
  <c r="M83" i="11"/>
  <c r="M90" i="11"/>
  <c r="M96" i="11"/>
  <c r="M97" i="11"/>
  <c r="M116" i="11"/>
  <c r="M117" i="11"/>
  <c r="M136" i="11"/>
  <c r="M137" i="11"/>
  <c r="M138" i="11"/>
  <c r="M139" i="11"/>
  <c r="M156" i="11"/>
  <c r="L4" i="11"/>
  <c r="M4" i="11" s="1"/>
  <c r="L5" i="11"/>
  <c r="M5" i="11" s="1"/>
  <c r="L6" i="11"/>
  <c r="M6" i="11" s="1"/>
  <c r="L7" i="11"/>
  <c r="M7" i="11" s="1"/>
  <c r="L8" i="11"/>
  <c r="M8" i="11" s="1"/>
  <c r="L9" i="11"/>
  <c r="M9" i="11" s="1"/>
  <c r="L10" i="11"/>
  <c r="M10" i="11" s="1"/>
  <c r="L11" i="11"/>
  <c r="M11" i="11" s="1"/>
  <c r="L12" i="11"/>
  <c r="M12" i="11" s="1"/>
  <c r="L13" i="11"/>
  <c r="M13" i="11" s="1"/>
  <c r="L14" i="11"/>
  <c r="M14" i="11" s="1"/>
  <c r="L15" i="11"/>
  <c r="M15" i="11" s="1"/>
  <c r="L16" i="11"/>
  <c r="M16" i="11" s="1"/>
  <c r="L17" i="11"/>
  <c r="M17" i="11" s="1"/>
  <c r="L18" i="11"/>
  <c r="M18" i="11" s="1"/>
  <c r="L19" i="11"/>
  <c r="M19" i="11" s="1"/>
  <c r="L20" i="11"/>
  <c r="M20" i="11" s="1"/>
  <c r="L21" i="11"/>
  <c r="M21" i="11" s="1"/>
  <c r="L22" i="11"/>
  <c r="M22" i="11" s="1"/>
  <c r="L23" i="11"/>
  <c r="M23" i="11" s="1"/>
  <c r="L24" i="11"/>
  <c r="M24" i="11" s="1"/>
  <c r="L25" i="11"/>
  <c r="M25" i="11" s="1"/>
  <c r="L26" i="11"/>
  <c r="M26" i="11" s="1"/>
  <c r="L27" i="11"/>
  <c r="M27" i="11" s="1"/>
  <c r="L28" i="11"/>
  <c r="M28" i="11" s="1"/>
  <c r="L29" i="11"/>
  <c r="M29" i="11" s="1"/>
  <c r="L30" i="11"/>
  <c r="M30" i="11" s="1"/>
  <c r="L31" i="11"/>
  <c r="M31" i="11" s="1"/>
  <c r="L32" i="11"/>
  <c r="M32" i="11" s="1"/>
  <c r="L33" i="11"/>
  <c r="M33" i="11" s="1"/>
  <c r="L34" i="11"/>
  <c r="M34" i="11" s="1"/>
  <c r="L35" i="11"/>
  <c r="M35" i="11" s="1"/>
  <c r="L36" i="11"/>
  <c r="L37" i="11"/>
  <c r="L38" i="11"/>
  <c r="L39" i="11"/>
  <c r="L40" i="11"/>
  <c r="M40" i="11" s="1"/>
  <c r="L41" i="11"/>
  <c r="L42" i="11"/>
  <c r="M42" i="11" s="1"/>
  <c r="L43" i="11"/>
  <c r="L44" i="11"/>
  <c r="M44" i="11" s="1"/>
  <c r="L45" i="11"/>
  <c r="M45" i="11" s="1"/>
  <c r="L46" i="11"/>
  <c r="M46" i="11" s="1"/>
  <c r="L47" i="11"/>
  <c r="M47" i="11" s="1"/>
  <c r="L48" i="11"/>
  <c r="L49" i="11"/>
  <c r="L50" i="11"/>
  <c r="L51" i="11"/>
  <c r="M51" i="11" s="1"/>
  <c r="L52" i="11"/>
  <c r="M52" i="11" s="1"/>
  <c r="L53" i="11"/>
  <c r="M53" i="11" s="1"/>
  <c r="L54" i="11"/>
  <c r="M54" i="11" s="1"/>
  <c r="L55" i="11"/>
  <c r="M55" i="11" s="1"/>
  <c r="L56" i="11"/>
  <c r="M56" i="11" s="1"/>
  <c r="L57" i="11"/>
  <c r="M57" i="11" s="1"/>
  <c r="L58" i="11"/>
  <c r="M58" i="11" s="1"/>
  <c r="L59" i="11"/>
  <c r="M59" i="11" s="1"/>
  <c r="L60" i="11"/>
  <c r="M60" i="11" s="1"/>
  <c r="L61" i="11"/>
  <c r="M61" i="11" s="1"/>
  <c r="L62" i="11"/>
  <c r="M62" i="11" s="1"/>
  <c r="L63" i="11"/>
  <c r="M63" i="11" s="1"/>
  <c r="L64" i="11"/>
  <c r="M64" i="11" s="1"/>
  <c r="L65" i="11"/>
  <c r="M65" i="11" s="1"/>
  <c r="L66" i="11"/>
  <c r="M66" i="11" s="1"/>
  <c r="L67" i="11"/>
  <c r="M67" i="11" s="1"/>
  <c r="L68" i="11"/>
  <c r="M68" i="11" s="1"/>
  <c r="L69" i="11"/>
  <c r="M69" i="11" s="1"/>
  <c r="L70" i="11"/>
  <c r="M70" i="11" s="1"/>
  <c r="L71" i="11"/>
  <c r="M71" i="11" s="1"/>
  <c r="L72" i="11"/>
  <c r="M72" i="11" s="1"/>
  <c r="L73" i="11"/>
  <c r="M73" i="11" s="1"/>
  <c r="L74" i="11"/>
  <c r="M74" i="11" s="1"/>
  <c r="L75" i="11"/>
  <c r="M75" i="11" s="1"/>
  <c r="L76" i="11"/>
  <c r="L77" i="11"/>
  <c r="L78" i="11"/>
  <c r="L79" i="11"/>
  <c r="L80" i="11"/>
  <c r="M80" i="11" s="1"/>
  <c r="L81" i="11"/>
  <c r="L82" i="11"/>
  <c r="M82" i="11" s="1"/>
  <c r="L83" i="11"/>
  <c r="L84" i="11"/>
  <c r="M84" i="11" s="1"/>
  <c r="L85" i="11"/>
  <c r="M85" i="11" s="1"/>
  <c r="L86" i="11"/>
  <c r="M86" i="11" s="1"/>
  <c r="L87" i="11"/>
  <c r="M87" i="11" s="1"/>
  <c r="L88" i="11"/>
  <c r="M88" i="11" s="1"/>
  <c r="L89" i="11"/>
  <c r="M89" i="11" s="1"/>
  <c r="L90" i="11"/>
  <c r="L91" i="11"/>
  <c r="M91" i="11" s="1"/>
  <c r="L92" i="11"/>
  <c r="M92" i="11" s="1"/>
  <c r="L93" i="11"/>
  <c r="M93" i="11" s="1"/>
  <c r="L94" i="11"/>
  <c r="M94" i="11" s="1"/>
  <c r="L95" i="11"/>
  <c r="M95" i="11" s="1"/>
  <c r="L96" i="11"/>
  <c r="L97" i="11"/>
  <c r="L98" i="11"/>
  <c r="M98" i="11" s="1"/>
  <c r="L99" i="11"/>
  <c r="M99" i="11" s="1"/>
  <c r="L100" i="11"/>
  <c r="M100" i="11" s="1"/>
  <c r="L101" i="11"/>
  <c r="M101" i="11" s="1"/>
  <c r="L102" i="11"/>
  <c r="M102" i="11" s="1"/>
  <c r="L103" i="11"/>
  <c r="M103" i="11" s="1"/>
  <c r="L104" i="11"/>
  <c r="M104" i="11" s="1"/>
  <c r="L105" i="11"/>
  <c r="M105" i="11" s="1"/>
  <c r="L106" i="11"/>
  <c r="M106" i="11" s="1"/>
  <c r="L107" i="11"/>
  <c r="M107" i="11" s="1"/>
  <c r="L108" i="11"/>
  <c r="M108" i="11" s="1"/>
  <c r="L109" i="11"/>
  <c r="M109" i="11" s="1"/>
  <c r="L110" i="11"/>
  <c r="M110" i="11" s="1"/>
  <c r="L111" i="11"/>
  <c r="M111" i="11" s="1"/>
  <c r="L112" i="11"/>
  <c r="M112" i="11" s="1"/>
  <c r="L113" i="11"/>
  <c r="M113" i="11" s="1"/>
  <c r="L114" i="11"/>
  <c r="M114" i="11" s="1"/>
  <c r="L115" i="11"/>
  <c r="M115" i="11" s="1"/>
  <c r="L116" i="11"/>
  <c r="L117" i="11"/>
  <c r="L118" i="11"/>
  <c r="M118" i="11" s="1"/>
  <c r="L119" i="11"/>
  <c r="M119" i="11" s="1"/>
  <c r="L120" i="11"/>
  <c r="M120" i="11" s="1"/>
  <c r="L121" i="11"/>
  <c r="M121" i="11" s="1"/>
  <c r="L122" i="11"/>
  <c r="M122" i="11" s="1"/>
  <c r="L123" i="11"/>
  <c r="M123" i="11" s="1"/>
  <c r="L124" i="11"/>
  <c r="M124" i="11" s="1"/>
  <c r="L125" i="11"/>
  <c r="M125" i="11" s="1"/>
  <c r="L126" i="11"/>
  <c r="M126" i="11" s="1"/>
  <c r="L127" i="11"/>
  <c r="M127" i="11" s="1"/>
  <c r="L128" i="11"/>
  <c r="M128" i="11" s="1"/>
  <c r="L129" i="11"/>
  <c r="M129" i="11" s="1"/>
  <c r="L130" i="11"/>
  <c r="M130" i="11" s="1"/>
  <c r="L131" i="11"/>
  <c r="M131" i="11" s="1"/>
  <c r="L132" i="11"/>
  <c r="M132" i="11" s="1"/>
  <c r="L133" i="11"/>
  <c r="M133" i="11" s="1"/>
  <c r="L134" i="11"/>
  <c r="M134" i="11" s="1"/>
  <c r="L135" i="11"/>
  <c r="M135" i="11" s="1"/>
  <c r="L136" i="11"/>
  <c r="L137" i="11"/>
  <c r="L138" i="11"/>
  <c r="L139" i="11"/>
  <c r="L140" i="11"/>
  <c r="M140" i="11" s="1"/>
  <c r="L141" i="11"/>
  <c r="M141" i="11" s="1"/>
  <c r="L142" i="11"/>
  <c r="M142" i="11" s="1"/>
  <c r="L143" i="11"/>
  <c r="M143" i="11" s="1"/>
  <c r="L144" i="11"/>
  <c r="M144" i="11" s="1"/>
  <c r="L145" i="11"/>
  <c r="M145" i="11" s="1"/>
  <c r="L146" i="11"/>
  <c r="M146" i="11" s="1"/>
  <c r="L147" i="11"/>
  <c r="M147" i="11" s="1"/>
  <c r="L148" i="11"/>
  <c r="M148" i="11" s="1"/>
  <c r="L149" i="11"/>
  <c r="M149" i="11" s="1"/>
  <c r="L150" i="11"/>
  <c r="M150" i="11" s="1"/>
  <c r="L151" i="11"/>
  <c r="M151" i="11" s="1"/>
  <c r="L152" i="11"/>
  <c r="M152" i="11" s="1"/>
  <c r="L153" i="11"/>
  <c r="M153" i="11" s="1"/>
  <c r="L154" i="11"/>
  <c r="M154" i="11" s="1"/>
  <c r="L155" i="11"/>
  <c r="M155" i="11" s="1"/>
  <c r="L156" i="11"/>
  <c r="L157" i="11"/>
  <c r="M157" i="11" s="1"/>
  <c r="L158" i="11"/>
  <c r="M158" i="11" s="1"/>
  <c r="L3" i="11"/>
  <c r="M3" i="11" s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3" i="11"/>
  <c r="J3" i="11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I5" i="10"/>
  <c r="H5" i="10"/>
  <c r="G5" i="10"/>
  <c r="L158" i="8"/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2" i="8"/>
  <c r="G110" i="5" l="1"/>
  <c r="F110" i="5"/>
  <c r="E84" i="5"/>
  <c r="D35" i="7" l="1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" i="7"/>
  <c r="G97" i="5" l="1"/>
  <c r="G98" i="5"/>
  <c r="G99" i="5"/>
  <c r="G100" i="5"/>
  <c r="G101" i="5" s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3" i="5"/>
  <c r="D99" i="5" l="1"/>
  <c r="E99" i="5"/>
  <c r="F99" i="5"/>
  <c r="C99" i="5"/>
  <c r="D98" i="5"/>
  <c r="E98" i="5"/>
  <c r="F98" i="5"/>
  <c r="C98" i="5"/>
  <c r="E97" i="5" l="1"/>
  <c r="F97" i="5"/>
  <c r="E100" i="5"/>
  <c r="F100" i="5"/>
  <c r="E101" i="5"/>
  <c r="F101" i="5"/>
  <c r="F13" i="5"/>
  <c r="F18" i="5"/>
  <c r="F20" i="5"/>
  <c r="F21" i="5"/>
  <c r="F22" i="5"/>
  <c r="F23" i="5"/>
  <c r="F31" i="5"/>
  <c r="F33" i="5"/>
  <c r="F38" i="5"/>
  <c r="F40" i="5"/>
  <c r="F41" i="5"/>
  <c r="F42" i="5"/>
  <c r="F43" i="5"/>
  <c r="F51" i="5"/>
  <c r="F53" i="5"/>
  <c r="F55" i="5"/>
  <c r="F58" i="5"/>
  <c r="F60" i="5"/>
  <c r="F61" i="5"/>
  <c r="F62" i="5"/>
  <c r="F63" i="5"/>
  <c r="F71" i="5"/>
  <c r="F73" i="5"/>
  <c r="F75" i="5"/>
  <c r="F78" i="5"/>
  <c r="F80" i="5"/>
  <c r="F81" i="5"/>
  <c r="F82" i="5"/>
  <c r="F83" i="5"/>
  <c r="F91" i="5"/>
  <c r="F93" i="5"/>
  <c r="F95" i="5"/>
  <c r="F3" i="5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E14" i="5"/>
  <c r="F14" i="5" s="1"/>
  <c r="E15" i="5"/>
  <c r="F15" i="5" s="1"/>
  <c r="E16" i="5"/>
  <c r="F16" i="5" s="1"/>
  <c r="E17" i="5"/>
  <c r="F17" i="5" s="1"/>
  <c r="E18" i="5"/>
  <c r="E19" i="5"/>
  <c r="F19" i="5" s="1"/>
  <c r="E20" i="5"/>
  <c r="E21" i="5"/>
  <c r="E22" i="5"/>
  <c r="E23" i="5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E32" i="5"/>
  <c r="F32" i="5" s="1"/>
  <c r="E33" i="5"/>
  <c r="E34" i="5"/>
  <c r="F34" i="5" s="1"/>
  <c r="E35" i="5"/>
  <c r="F35" i="5" s="1"/>
  <c r="E36" i="5"/>
  <c r="F36" i="5" s="1"/>
  <c r="E37" i="5"/>
  <c r="F37" i="5" s="1"/>
  <c r="E38" i="5"/>
  <c r="E39" i="5"/>
  <c r="F39" i="5" s="1"/>
  <c r="E40" i="5"/>
  <c r="E41" i="5"/>
  <c r="E42" i="5"/>
  <c r="E43" i="5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E52" i="5"/>
  <c r="F52" i="5" s="1"/>
  <c r="E53" i="5"/>
  <c r="E54" i="5"/>
  <c r="F54" i="5" s="1"/>
  <c r="E55" i="5"/>
  <c r="E56" i="5"/>
  <c r="F56" i="5" s="1"/>
  <c r="E57" i="5"/>
  <c r="F57" i="5" s="1"/>
  <c r="E58" i="5"/>
  <c r="E59" i="5"/>
  <c r="F59" i="5" s="1"/>
  <c r="E60" i="5"/>
  <c r="E61" i="5"/>
  <c r="E62" i="5"/>
  <c r="E63" i="5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E72" i="5"/>
  <c r="F72" i="5" s="1"/>
  <c r="E73" i="5"/>
  <c r="E74" i="5"/>
  <c r="F74" i="5" s="1"/>
  <c r="E75" i="5"/>
  <c r="E76" i="5"/>
  <c r="F76" i="5" s="1"/>
  <c r="E77" i="5"/>
  <c r="F77" i="5" s="1"/>
  <c r="E78" i="5"/>
  <c r="E79" i="5"/>
  <c r="F79" i="5" s="1"/>
  <c r="E80" i="5"/>
  <c r="E81" i="5"/>
  <c r="E82" i="5"/>
  <c r="E83" i="5"/>
  <c r="F84" i="5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E92" i="5"/>
  <c r="F92" i="5" s="1"/>
  <c r="E93" i="5"/>
  <c r="E94" i="5"/>
  <c r="F94" i="5" s="1"/>
  <c r="E95" i="5"/>
  <c r="E96" i="5"/>
  <c r="F96" i="5" s="1"/>
  <c r="E3" i="5"/>
  <c r="D100" i="5"/>
  <c r="C100" i="5"/>
  <c r="C101" i="5" s="1"/>
  <c r="D97" i="5"/>
  <c r="C97" i="5"/>
  <c r="G96" i="1"/>
  <c r="F96" i="1"/>
  <c r="D101" i="5" l="1"/>
</calcChain>
</file>

<file path=xl/sharedStrings.xml><?xml version="1.0" encoding="utf-8"?>
<sst xmlns="http://schemas.openxmlformats.org/spreadsheetml/2006/main" count="708" uniqueCount="265">
  <si>
    <t>Sl. No</t>
  </si>
  <si>
    <t>Drill Hole no</t>
  </si>
  <si>
    <t>BH-1</t>
  </si>
  <si>
    <t>BH-2</t>
  </si>
  <si>
    <t>BH-3</t>
  </si>
  <si>
    <t>BH-4</t>
  </si>
  <si>
    <t>BH-5</t>
  </si>
  <si>
    <t>BH-6</t>
  </si>
  <si>
    <t>BH-6A</t>
  </si>
  <si>
    <t>BH-7</t>
  </si>
  <si>
    <t>BH-8</t>
  </si>
  <si>
    <t>BH-8A</t>
  </si>
  <si>
    <t>BH-10</t>
  </si>
  <si>
    <t>BH-11</t>
  </si>
  <si>
    <t>BH-12</t>
  </si>
  <si>
    <t>BH-12A</t>
  </si>
  <si>
    <t>BH-13</t>
  </si>
  <si>
    <t>BH-14</t>
  </si>
  <si>
    <t>BH-15</t>
  </si>
  <si>
    <t>BH-16</t>
  </si>
  <si>
    <t>BH-17</t>
  </si>
  <si>
    <t>BH-18</t>
  </si>
  <si>
    <t>BH-19</t>
  </si>
  <si>
    <t>BH-19A</t>
  </si>
  <si>
    <t>BH-21</t>
  </si>
  <si>
    <t>BH-22</t>
  </si>
  <si>
    <t>ADH-1</t>
  </si>
  <si>
    <t>ADH-3</t>
  </si>
  <si>
    <t>ADH-4</t>
  </si>
  <si>
    <t>ADH-6</t>
  </si>
  <si>
    <t>ADH-7</t>
  </si>
  <si>
    <t>ADH-8</t>
  </si>
  <si>
    <t>ADH-9</t>
  </si>
  <si>
    <t>ADH-10</t>
  </si>
  <si>
    <t>ADH-11</t>
  </si>
  <si>
    <t>ADH-12</t>
  </si>
  <si>
    <t>ADH-13</t>
  </si>
  <si>
    <t>ADH-15</t>
  </si>
  <si>
    <t>ADH-16</t>
  </si>
  <si>
    <t>ADH-17</t>
  </si>
  <si>
    <t>ADH-18</t>
  </si>
  <si>
    <t>ADH-19</t>
  </si>
  <si>
    <t>ADH-20</t>
  </si>
  <si>
    <t>ADH-21</t>
  </si>
  <si>
    <t>ADH-22</t>
  </si>
  <si>
    <t>AP-1</t>
  </si>
  <si>
    <t>AP-2</t>
  </si>
  <si>
    <t>ADH-23</t>
  </si>
  <si>
    <t>ADH-24</t>
  </si>
  <si>
    <t>ADH-25</t>
  </si>
  <si>
    <t>ADH-26</t>
  </si>
  <si>
    <t>ADH-27</t>
  </si>
  <si>
    <t>ADH-28</t>
  </si>
  <si>
    <t>ADH-29</t>
  </si>
  <si>
    <t>ADH-31</t>
  </si>
  <si>
    <t>T-10/AP-1</t>
  </si>
  <si>
    <t>T-10/AP-2</t>
  </si>
  <si>
    <t>T-10/AP-3</t>
  </si>
  <si>
    <t>T10/AP-4</t>
  </si>
  <si>
    <t>NB-1</t>
  </si>
  <si>
    <t>NB-2</t>
  </si>
  <si>
    <t>NB-3</t>
  </si>
  <si>
    <t>NB-5</t>
  </si>
  <si>
    <t>NB-6</t>
  </si>
  <si>
    <t>NB-10</t>
  </si>
  <si>
    <t>NB-11</t>
  </si>
  <si>
    <t>NB-12</t>
  </si>
  <si>
    <t>NB-13</t>
  </si>
  <si>
    <t>NB-14</t>
  </si>
  <si>
    <t>NB-15</t>
  </si>
  <si>
    <t>NB-16</t>
  </si>
  <si>
    <t>NB-17</t>
  </si>
  <si>
    <t>NB-27</t>
  </si>
  <si>
    <t>NB-28</t>
  </si>
  <si>
    <t>BH-23</t>
  </si>
  <si>
    <t>BH-24</t>
  </si>
  <si>
    <t>BH-25</t>
  </si>
  <si>
    <t>BH-26</t>
  </si>
  <si>
    <t>BH-28</t>
  </si>
  <si>
    <t>BH-35</t>
  </si>
  <si>
    <t>BH-36</t>
  </si>
  <si>
    <t>BH-37</t>
  </si>
  <si>
    <t>BH-39</t>
  </si>
  <si>
    <t>BH-40</t>
  </si>
  <si>
    <t>BH-41</t>
  </si>
  <si>
    <t>BH-42</t>
  </si>
  <si>
    <t>BH-43</t>
  </si>
  <si>
    <t>BH-44</t>
  </si>
  <si>
    <t>BH-32</t>
  </si>
  <si>
    <t>BH-38</t>
  </si>
  <si>
    <t>BH-45</t>
  </si>
  <si>
    <t>BH-46</t>
  </si>
  <si>
    <t>BH-47</t>
  </si>
  <si>
    <t>BH-49</t>
  </si>
  <si>
    <t>BH-50</t>
  </si>
  <si>
    <t>BH-29</t>
  </si>
  <si>
    <t>BH-30</t>
  </si>
  <si>
    <t>BH-33</t>
  </si>
  <si>
    <t>BH-34</t>
  </si>
  <si>
    <t>NB-37</t>
  </si>
  <si>
    <t>NB-38</t>
  </si>
  <si>
    <t>NB-39</t>
  </si>
  <si>
    <t>NB-40</t>
  </si>
  <si>
    <t>NB-41</t>
  </si>
  <si>
    <t>NB-31</t>
  </si>
  <si>
    <t>NB-32</t>
  </si>
  <si>
    <t>NB-33</t>
  </si>
  <si>
    <t>NB-34</t>
  </si>
  <si>
    <t>NB-35</t>
  </si>
  <si>
    <t>Boring Depth (m)</t>
  </si>
  <si>
    <t>Description</t>
  </si>
  <si>
    <t>Brownish grey silty sandy clay with kankars</t>
  </si>
  <si>
    <t>Greyish yellow clayey silty sand with kankars and gravels</t>
  </si>
  <si>
    <t>Yellowish grey silty sand with gravels</t>
  </si>
  <si>
    <t>Yellowish grey clayey silty sand with gravels</t>
  </si>
  <si>
    <t>Yellowish grey silty sand with traces of gravels</t>
  </si>
  <si>
    <t>Yellowish grey clayey silty sand with traces of gravels</t>
  </si>
  <si>
    <t>Grey silty sand with fragmented rock pieces</t>
  </si>
  <si>
    <t>Brownish yellow silty sand with fragmented rock pieces</t>
  </si>
  <si>
    <t>Brownish yellow silty sand with kankars</t>
  </si>
  <si>
    <t>Greyish yellow silty sand with kankars and nodules</t>
  </si>
  <si>
    <t>Grey sand with gravels and pebbles</t>
  </si>
  <si>
    <t>Greyish brown clayey silty sand with kankars and gravels</t>
  </si>
  <si>
    <t>Greyish brown silty sand with gravels</t>
  </si>
  <si>
    <t>Brownish grey sandy silty clay with kankars and gravels</t>
  </si>
  <si>
    <t>Yellowish brown clayey silty sand with gravels</t>
  </si>
  <si>
    <t>Brownish grey clayey silty sand with kankars and gravels</t>
  </si>
  <si>
    <t>Grey silty sandy clay / silty clayey sand with kankars and gravels</t>
  </si>
  <si>
    <t>Greyish yellow silty sand with fragmented rock pieces</t>
  </si>
  <si>
    <t>Brownish grey sandy silty clay / silty clayey sand with gravels and pebbles</t>
  </si>
  <si>
    <t>Greyish brown clayey silty sand with kankars, gravels,fragmented rock pieces etc</t>
  </si>
  <si>
    <t>Brownish grey clayey silty sand with gravels and pebbles</t>
  </si>
  <si>
    <t>Brownish yellow clayey silty sand with fragmented rock pieces</t>
  </si>
  <si>
    <t>Grey clayey silty sand with kankars and gravels</t>
  </si>
  <si>
    <t>Greyish yellow clayey silty sand with kankars and fragmented rock pieces</t>
  </si>
  <si>
    <t>Yellowish grey clayey silty sand with kankars and fragmented rock pieces</t>
  </si>
  <si>
    <t>Dark grey silty sand with kankar,gravels and clay as binder</t>
  </si>
  <si>
    <t>Brownish grey silty sand with fragmented rock pieces</t>
  </si>
  <si>
    <t>Greyish yellow silty sand with gravels and clay as binder</t>
  </si>
  <si>
    <t>Yellowish grey silty sand with fragmented rock pieces</t>
  </si>
  <si>
    <t>Greyish brown silty sand with clay as binder, gravels and pebbles</t>
  </si>
  <si>
    <t>Brownish grey silty sand with gravels and fragmented rock pieces</t>
  </si>
  <si>
    <t>Yellowish brown silty clayey sand with kankars and nodules</t>
  </si>
  <si>
    <t>Greyish Yellow silty clayey sand with kankars and nodules</t>
  </si>
  <si>
    <t>Greyish yellow silty clayey sand with kankars and gravels</t>
  </si>
  <si>
    <t>Greyish yellow sandy silt with kankars and clay as binder</t>
  </si>
  <si>
    <t>Greyish yellow silty sand with gravels and fragmented rock pieces</t>
  </si>
  <si>
    <t>Greyish brown clayey sandy silt with gravels</t>
  </si>
  <si>
    <t>Greyish brown silty sand with gravels and pebbles</t>
  </si>
  <si>
    <t>Greyish yellow silty sand with kankars and fragmented rock pieces</t>
  </si>
  <si>
    <t>Greyish brown silty sand with gravels and fragmented rock pieces</t>
  </si>
  <si>
    <t>Brownish yellow silty sand with fragmented rock pieces and clay as binder</t>
  </si>
  <si>
    <t>Greyish brown silty sand with kankars, fragmented rock pieces, roots etc</t>
  </si>
  <si>
    <t>Brownish grey silty sand with fragmented rock pieces and clay as binder</t>
  </si>
  <si>
    <t>Brownish grey silty sand with gravels, stone pieces etc.</t>
  </si>
  <si>
    <t>Brownish grey silty sand with kankars, gravels, stone pieces etc.</t>
  </si>
  <si>
    <t>Greyish yellow silty sand with traces of kankars</t>
  </si>
  <si>
    <t>Greyish yellow silty sand with kankars, gravels and fragmented rock pieces</t>
  </si>
  <si>
    <t>Greyish yellow silty sand with gravels</t>
  </si>
  <si>
    <t>Yellowish grey silty sand with kankars and gravels</t>
  </si>
  <si>
    <t>Greyish yellow clayey silty sand with gravels</t>
  </si>
  <si>
    <t>Greyish yellow silty sand with kankars, gravels and clay as binder</t>
  </si>
  <si>
    <t>Brownish grey silty clayey sand with gravels</t>
  </si>
  <si>
    <t>Brownish grey silty clayey sand with kankars and gravels</t>
  </si>
  <si>
    <t>Brownish grey clayey sandy silt with gravels and pebbles</t>
  </si>
  <si>
    <t>Grey silty sand with mica, fragmented rock pieces and clay as binder</t>
  </si>
  <si>
    <t>Greyish brown clayey silty sand with kankars and nodules</t>
  </si>
  <si>
    <t>Greyish yellow silty sand with kankars, gravels etc.</t>
  </si>
  <si>
    <t>Greyish yellow sitly sand with kankars and gravels</t>
  </si>
  <si>
    <t>Greyish yellow silty sand with fragmented rock pieces and clay as binder</t>
  </si>
  <si>
    <t>Grey silty sand with gravels, pebbles and fragmented rock pieces</t>
  </si>
  <si>
    <t>Brownish grey silty sand with kankars, stone pieces etc.</t>
  </si>
  <si>
    <t>Shear Strength Parameters</t>
  </si>
  <si>
    <t>Test Type</t>
  </si>
  <si>
    <t>UU</t>
  </si>
  <si>
    <t>DSR</t>
  </si>
  <si>
    <t>DS</t>
  </si>
  <si>
    <t>C (kg/cm2)</t>
  </si>
  <si>
    <t>φ</t>
  </si>
  <si>
    <t>5.16-6</t>
  </si>
  <si>
    <t>4.5-5.25</t>
  </si>
  <si>
    <t>7.0-8.0</t>
  </si>
  <si>
    <t>5.0-6.0</t>
  </si>
  <si>
    <t>11.7-12.5</t>
  </si>
  <si>
    <t>23.9-24.5</t>
  </si>
  <si>
    <t>1.0-2.0</t>
  </si>
  <si>
    <t>4.0-5.0</t>
  </si>
  <si>
    <t>1-1.7</t>
  </si>
  <si>
    <t>3.8-4</t>
  </si>
  <si>
    <t>6.4-7</t>
  </si>
  <si>
    <t>6.75-7.75</t>
  </si>
  <si>
    <t>4-4.75</t>
  </si>
  <si>
    <t>4.25-5.25</t>
  </si>
  <si>
    <t>5.75-6.25</t>
  </si>
  <si>
    <t>7.75-8.25</t>
  </si>
  <si>
    <t>8.2-9</t>
  </si>
  <si>
    <t>9.0-10</t>
  </si>
  <si>
    <t>5.0-6</t>
  </si>
  <si>
    <t>6.5-7.25</t>
  </si>
  <si>
    <t>6.95-7.5</t>
  </si>
  <si>
    <t>k (cm/s)</t>
  </si>
  <si>
    <t>Density and Moisture Tests</t>
  </si>
  <si>
    <t>WC</t>
  </si>
  <si>
    <t>Bulk density (g/cc)</t>
  </si>
  <si>
    <t>Dry density (g/cc)</t>
  </si>
  <si>
    <t>Avg</t>
  </si>
  <si>
    <t>SD</t>
  </si>
  <si>
    <t>CV</t>
  </si>
  <si>
    <r>
      <t>e=(G</t>
    </r>
    <r>
      <rPr>
        <sz val="11"/>
        <color theme="1"/>
        <rFont val="Calibri"/>
        <family val="2"/>
      </rPr>
      <t>ρw/ρd)-1</t>
    </r>
  </si>
  <si>
    <t>Saturated density (g/cc)</t>
  </si>
  <si>
    <t>Property</t>
  </si>
  <si>
    <t>Mean</t>
  </si>
  <si>
    <t>Max</t>
  </si>
  <si>
    <t xml:space="preserve">Min </t>
  </si>
  <si>
    <t>Stdev</t>
  </si>
  <si>
    <t>COV</t>
  </si>
  <si>
    <t>max</t>
  </si>
  <si>
    <t>min</t>
  </si>
  <si>
    <t>c (kg/cm2)</t>
  </si>
  <si>
    <t>φ (°)</t>
  </si>
  <si>
    <t>n = e/(1+e)</t>
  </si>
  <si>
    <t>RL (m)</t>
  </si>
  <si>
    <t>GWT (m)</t>
  </si>
  <si>
    <t>GWT RL</t>
  </si>
  <si>
    <t>Gravel</t>
  </si>
  <si>
    <t>Silt</t>
  </si>
  <si>
    <t>Clay</t>
  </si>
  <si>
    <t>Sand</t>
  </si>
  <si>
    <t>Fines</t>
  </si>
  <si>
    <t>Mean (%)</t>
  </si>
  <si>
    <t>Std Dev (%)</t>
  </si>
  <si>
    <t>Q1 (25th percentile)</t>
  </si>
  <si>
    <t>Median (50th percentile)</t>
  </si>
  <si>
    <t>Q3 (75th percentile)</t>
  </si>
  <si>
    <t>95% CI Lower</t>
  </si>
  <si>
    <t>95% CI Upper</t>
  </si>
  <si>
    <t>Corrected percentages</t>
  </si>
  <si>
    <t>Cor Sand</t>
  </si>
  <si>
    <t>Cor Silt</t>
  </si>
  <si>
    <t>Cor. Clay</t>
  </si>
  <si>
    <t>Rosetta 3</t>
  </si>
  <si>
    <t>Sand_%</t>
  </si>
  <si>
    <t>Silt_%</t>
  </si>
  <si>
    <t>Clay_%</t>
  </si>
  <si>
    <t>bulk_density_(g/cm3)</t>
  </si>
  <si>
    <t>theta_r</t>
  </si>
  <si>
    <t>theta_s</t>
  </si>
  <si>
    <t>log10_alpha_(1/cm)</t>
  </si>
  <si>
    <t>log10_n</t>
  </si>
  <si>
    <t>log10_Ksat_(cm/d)</t>
  </si>
  <si>
    <t>alpha</t>
  </si>
  <si>
    <t>n</t>
  </si>
  <si>
    <t>Ksat (cm/day)</t>
  </si>
  <si>
    <t>Ksat (cm/s)</t>
  </si>
  <si>
    <t>Min</t>
  </si>
  <si>
    <t>Bh no</t>
  </si>
  <si>
    <t>Depth</t>
  </si>
  <si>
    <t>permeability</t>
  </si>
  <si>
    <t>median</t>
  </si>
  <si>
    <t>cv</t>
  </si>
  <si>
    <t>Median</t>
  </si>
  <si>
    <t>25th percentile</t>
  </si>
  <si>
    <t>75th percentile</t>
  </si>
  <si>
    <t>90th percentile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</si>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</sst>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6" formatCode="0.0"/>
    <numFmt numFmtId="167" formatCode="0.000000"/>
    <numFmt numFmtId="168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64" fontId="0" fillId="0" borderId="0" xfId="0" applyNumberFormat="1"/>
    <xf numFmtId="166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7" fontId="0" fillId="0" borderId="0" xfId="0" applyNumberFormat="1"/>
    <xf numFmtId="167" fontId="0" fillId="2" borderId="0" xfId="0" applyNumberFormat="1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49" fontId="0" fillId="0" borderId="0" xfId="0" applyNumberFormat="1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2" fontId="0" fillId="0" borderId="0" xfId="0" applyNumberFormat="1" applyBorder="1"/>
    <xf numFmtId="168" fontId="0" fillId="2" borderId="0" xfId="0" applyNumberFormat="1" applyFill="1"/>
    <xf numFmtId="168" fontId="0" fillId="0" borderId="0" xfId="0" applyNumberFormat="1"/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13B98E4F-6110-48F0-A3AF-B0C3496CBA15}">
          <cx:dataId val="0"/>
          <cx:layoutPr>
            <cx:binning intervalClosed="r">
              <cx:binCount val="10"/>
            </cx:binning>
          </cx:layoutPr>
        </cx:series>
      </cx:plotAreaRegion>
      <cx:axis id="0" hidden="1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C17A99B-CFC8-4B29-84EC-962C51754A6D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k (cm/s)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k (cm/s)</a:t>
              </a:r>
            </a:p>
          </cx:txPr>
        </cx:title>
        <cx:tickLabels/>
        <cx:numFmt formatCode="0.00E-07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Values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1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alpha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alpha</a:t>
          </a:r>
        </a:p>
      </cx:txPr>
    </cx:title>
    <cx:plotArea>
      <cx:plotAreaRegion>
        <cx:series layoutId="clusteredColumn" uniqueId="{E414554E-7E41-4F58-919B-CA6D077C3F75}">
          <cx:dataLabels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9565FD-2A1C-4966-B413-5F6C5C650166}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542924</xdr:colOff>
      <xdr:row>9</xdr:row>
      <xdr:rowOff>90486</xdr:rowOff>
    </xdr:from>
    <xdr:to>
      <xdr:col>27</xdr:col>
      <xdr:colOff>180975</xdr:colOff>
      <xdr:row>34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B9A5C9F-977E-4432-8459-86020AEB4F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1224" y="1804986"/>
              <a:ext cx="10610851" cy="4786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1606753" cy="7580722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9F1BAE-B356-4980-B56D-0EFAAD1BE01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B2F6D2B-DF2E-4D7E-9BF3-1E06DB4EC4F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11606753" cy="7580722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67235</xdr:colOff>
      <xdr:row>7</xdr:row>
      <xdr:rowOff>145677</xdr:rowOff>
    </xdr:from>
    <xdr:to>
      <xdr:col>28</xdr:col>
      <xdr:colOff>231549</xdr:colOff>
      <xdr:row>27</xdr:row>
      <xdr:rowOff>160860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C638F-B4A3-4CA9-8985-4DFF658D4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8676" y="1546412"/>
          <a:ext cx="12266667" cy="40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185737</xdr:rowOff>
    </xdr:from>
    <xdr:to>
      <xdr:col>22</xdr:col>
      <xdr:colOff>304800</xdr:colOff>
      <xdr:row>20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12EFD4-F362-4A54-80DD-0AA08C5CCE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0950" y="1138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opLeftCell="A55" workbookViewId="0">
      <selection activeCell="J98" sqref="J98"/>
    </sheetView>
  </sheetViews>
  <sheetFormatPr defaultRowHeight="15" x14ac:dyDescent="0.25"/>
  <cols>
    <col min="1" max="1" width="9.140625" style="4"/>
    <col min="2" max="2" width="12" style="4" bestFit="1" customWidth="1"/>
    <col min="3" max="3" width="10" style="4" bestFit="1" customWidth="1"/>
    <col min="4" max="4" width="79.42578125" style="34" bestFit="1" customWidth="1"/>
    <col min="5" max="5" width="9.140625" style="4"/>
    <col min="6" max="6" width="8.42578125" style="4" customWidth="1"/>
    <col min="7" max="7" width="9.140625" style="4"/>
  </cols>
  <sheetData>
    <row r="1" spans="1:7" ht="60" x14ac:dyDescent="0.25">
      <c r="A1" s="1" t="s">
        <v>0</v>
      </c>
      <c r="B1" s="6" t="s">
        <v>1</v>
      </c>
      <c r="C1" s="20" t="s">
        <v>109</v>
      </c>
      <c r="D1" s="20" t="s">
        <v>110</v>
      </c>
      <c r="E1" s="20" t="s">
        <v>172</v>
      </c>
      <c r="F1" s="20"/>
      <c r="G1" s="20"/>
    </row>
    <row r="2" spans="1:7" ht="45.75" thickBot="1" x14ac:dyDescent="0.3">
      <c r="A2" s="2"/>
      <c r="B2" s="7"/>
      <c r="C2" s="21"/>
      <c r="D2" s="21"/>
      <c r="E2" s="23" t="s">
        <v>173</v>
      </c>
      <c r="F2" s="31" t="s">
        <v>177</v>
      </c>
      <c r="G2" s="35" t="s">
        <v>178</v>
      </c>
    </row>
    <row r="3" spans="1:7" x14ac:dyDescent="0.25">
      <c r="A3" s="1">
        <v>1</v>
      </c>
      <c r="B3" s="8" t="s">
        <v>2</v>
      </c>
      <c r="C3" s="22">
        <v>1</v>
      </c>
      <c r="D3" s="30" t="s">
        <v>111</v>
      </c>
      <c r="E3" s="22" t="s">
        <v>174</v>
      </c>
      <c r="F3" s="22">
        <v>0.46</v>
      </c>
      <c r="G3" s="22">
        <v>7</v>
      </c>
    </row>
    <row r="4" spans="1:7" ht="15.75" thickBot="1" x14ac:dyDescent="0.3">
      <c r="A4" s="2"/>
      <c r="B4" s="9"/>
      <c r="C4" s="23">
        <v>1.5</v>
      </c>
      <c r="D4" s="31" t="s">
        <v>112</v>
      </c>
      <c r="E4" s="23" t="s">
        <v>175</v>
      </c>
      <c r="F4" s="23">
        <v>0.06</v>
      </c>
      <c r="G4" s="23">
        <v>36.5</v>
      </c>
    </row>
    <row r="5" spans="1:7" x14ac:dyDescent="0.25">
      <c r="A5" s="1">
        <v>2</v>
      </c>
      <c r="B5" s="8" t="s">
        <v>3</v>
      </c>
      <c r="C5" s="22">
        <v>0.5</v>
      </c>
      <c r="D5" s="30" t="s">
        <v>113</v>
      </c>
      <c r="E5" s="22" t="s">
        <v>175</v>
      </c>
      <c r="F5" s="22">
        <v>0</v>
      </c>
      <c r="G5" s="22">
        <v>31</v>
      </c>
    </row>
    <row r="6" spans="1:7" x14ac:dyDescent="0.25">
      <c r="A6" s="3"/>
      <c r="B6" s="10"/>
      <c r="C6" s="24">
        <v>1</v>
      </c>
      <c r="D6" s="32" t="s">
        <v>114</v>
      </c>
      <c r="E6" s="24" t="s">
        <v>175</v>
      </c>
      <c r="F6" s="24">
        <v>0.12</v>
      </c>
      <c r="G6" s="24">
        <v>31.5</v>
      </c>
    </row>
    <row r="7" spans="1:7" x14ac:dyDescent="0.25">
      <c r="A7" s="3"/>
      <c r="B7" s="10"/>
      <c r="C7" s="24">
        <v>2.5</v>
      </c>
      <c r="D7" s="32" t="s">
        <v>115</v>
      </c>
      <c r="E7" s="24" t="s">
        <v>175</v>
      </c>
      <c r="F7" s="24">
        <v>0</v>
      </c>
      <c r="G7" s="24">
        <v>33</v>
      </c>
    </row>
    <row r="8" spans="1:7" ht="15.75" thickBot="1" x14ac:dyDescent="0.3">
      <c r="A8" s="2"/>
      <c r="B8" s="9"/>
      <c r="C8" s="23">
        <v>4</v>
      </c>
      <c r="D8" s="31" t="s">
        <v>116</v>
      </c>
      <c r="E8" s="23" t="s">
        <v>175</v>
      </c>
      <c r="F8" s="23">
        <v>0.1</v>
      </c>
      <c r="G8" s="23">
        <v>35</v>
      </c>
    </row>
    <row r="9" spans="1:7" ht="15.75" thickBot="1" x14ac:dyDescent="0.3">
      <c r="A9" s="4">
        <v>3</v>
      </c>
      <c r="B9" s="11" t="s">
        <v>4</v>
      </c>
      <c r="C9" s="25">
        <v>1</v>
      </c>
      <c r="D9" s="33" t="s">
        <v>117</v>
      </c>
      <c r="E9" s="25" t="s">
        <v>175</v>
      </c>
      <c r="F9" s="25">
        <v>0</v>
      </c>
      <c r="G9" s="25">
        <v>34</v>
      </c>
    </row>
    <row r="10" spans="1:7" ht="15.75" thickBot="1" x14ac:dyDescent="0.3">
      <c r="A10" s="4">
        <v>4</v>
      </c>
      <c r="B10" s="11" t="s">
        <v>5</v>
      </c>
      <c r="C10" s="25">
        <v>0.5</v>
      </c>
      <c r="D10" s="33" t="s">
        <v>118</v>
      </c>
      <c r="E10" s="25" t="s">
        <v>175</v>
      </c>
      <c r="F10" s="25">
        <v>0</v>
      </c>
      <c r="G10" s="25">
        <v>32</v>
      </c>
    </row>
    <row r="11" spans="1:7" x14ac:dyDescent="0.25">
      <c r="A11" s="5">
        <v>5</v>
      </c>
      <c r="B11" s="8" t="s">
        <v>6</v>
      </c>
      <c r="C11" s="22">
        <v>1</v>
      </c>
      <c r="D11" s="30" t="s">
        <v>119</v>
      </c>
      <c r="E11" s="22" t="s">
        <v>175</v>
      </c>
      <c r="F11" s="22">
        <v>0.05</v>
      </c>
      <c r="G11" s="22">
        <v>31</v>
      </c>
    </row>
    <row r="12" spans="1:7" ht="15.75" thickBot="1" x14ac:dyDescent="0.3">
      <c r="A12" s="5"/>
      <c r="B12" s="9"/>
      <c r="C12" s="23">
        <v>2.5</v>
      </c>
      <c r="D12" s="31" t="s">
        <v>120</v>
      </c>
      <c r="E12" s="23" t="s">
        <v>175</v>
      </c>
      <c r="F12" s="23">
        <v>0</v>
      </c>
      <c r="G12" s="23">
        <v>34.5</v>
      </c>
    </row>
    <row r="13" spans="1:7" ht="15.75" thickBot="1" x14ac:dyDescent="0.3">
      <c r="A13" s="4">
        <v>9</v>
      </c>
      <c r="B13" s="11" t="s">
        <v>10</v>
      </c>
      <c r="C13" s="25">
        <v>0.5</v>
      </c>
      <c r="D13" s="33" t="s">
        <v>122</v>
      </c>
      <c r="E13" s="25" t="s">
        <v>175</v>
      </c>
      <c r="F13" s="25">
        <v>0.12</v>
      </c>
      <c r="G13" s="25">
        <v>30.5</v>
      </c>
    </row>
    <row r="14" spans="1:7" x14ac:dyDescent="0.25">
      <c r="A14" s="5">
        <v>10</v>
      </c>
      <c r="B14" s="8" t="s">
        <v>11</v>
      </c>
      <c r="C14" s="22">
        <v>1</v>
      </c>
      <c r="D14" s="30" t="s">
        <v>123</v>
      </c>
      <c r="E14" s="22" t="s">
        <v>175</v>
      </c>
      <c r="F14" s="22">
        <v>0</v>
      </c>
      <c r="G14" s="22">
        <v>32</v>
      </c>
    </row>
    <row r="15" spans="1:7" x14ac:dyDescent="0.25">
      <c r="A15" s="5"/>
      <c r="B15" s="10"/>
      <c r="C15" s="24">
        <v>1</v>
      </c>
      <c r="D15" s="32" t="s">
        <v>124</v>
      </c>
      <c r="E15" s="24" t="s">
        <v>174</v>
      </c>
      <c r="F15" s="24">
        <v>0.53</v>
      </c>
      <c r="G15" s="24">
        <v>5</v>
      </c>
    </row>
    <row r="16" spans="1:7" x14ac:dyDescent="0.25">
      <c r="A16" s="5"/>
      <c r="B16" s="10"/>
      <c r="C16" s="24">
        <v>4</v>
      </c>
      <c r="D16" s="32" t="s">
        <v>125</v>
      </c>
      <c r="E16" s="24" t="s">
        <v>176</v>
      </c>
      <c r="F16" s="24">
        <v>0.12</v>
      </c>
      <c r="G16" s="24">
        <v>33.5</v>
      </c>
    </row>
    <row r="17" spans="1:7" ht="15.75" thickBot="1" x14ac:dyDescent="0.3">
      <c r="A17" s="5"/>
      <c r="B17" s="9"/>
      <c r="C17" s="23">
        <v>5.5</v>
      </c>
      <c r="D17" s="31" t="s">
        <v>125</v>
      </c>
      <c r="E17" s="23" t="s">
        <v>176</v>
      </c>
      <c r="F17" s="23">
        <v>0.1</v>
      </c>
      <c r="G17" s="23">
        <v>35</v>
      </c>
    </row>
    <row r="18" spans="1:7" ht="15.75" thickBot="1" x14ac:dyDescent="0.3">
      <c r="A18" s="5">
        <v>13</v>
      </c>
      <c r="B18" s="8" t="s">
        <v>13</v>
      </c>
      <c r="C18" s="22">
        <v>0.5</v>
      </c>
      <c r="D18" s="30" t="s">
        <v>126</v>
      </c>
      <c r="E18" s="22" t="s">
        <v>175</v>
      </c>
      <c r="F18" s="22">
        <v>0.12</v>
      </c>
      <c r="G18" s="22">
        <v>31</v>
      </c>
    </row>
    <row r="19" spans="1:7" x14ac:dyDescent="0.25">
      <c r="A19" s="5">
        <v>14</v>
      </c>
      <c r="B19" s="8" t="s">
        <v>14</v>
      </c>
      <c r="C19" s="22">
        <v>0.5</v>
      </c>
      <c r="D19" s="30" t="s">
        <v>127</v>
      </c>
      <c r="E19" s="22" t="s">
        <v>175</v>
      </c>
      <c r="F19" s="22">
        <v>0.15</v>
      </c>
      <c r="G19" s="22">
        <v>32</v>
      </c>
    </row>
    <row r="20" spans="1:7" ht="15.75" thickBot="1" x14ac:dyDescent="0.3">
      <c r="A20" s="5"/>
      <c r="B20" s="9"/>
      <c r="C20" s="23">
        <v>1</v>
      </c>
      <c r="D20" s="31" t="s">
        <v>128</v>
      </c>
      <c r="E20" s="23" t="s">
        <v>175</v>
      </c>
      <c r="F20" s="23">
        <v>0</v>
      </c>
      <c r="G20" s="23">
        <v>36</v>
      </c>
    </row>
    <row r="21" spans="1:7" ht="15.75" thickBot="1" x14ac:dyDescent="0.3">
      <c r="A21" s="4">
        <v>15</v>
      </c>
      <c r="B21" s="11" t="s">
        <v>15</v>
      </c>
      <c r="C21" s="25">
        <v>1</v>
      </c>
      <c r="D21" s="33" t="s">
        <v>129</v>
      </c>
      <c r="E21" s="25" t="s">
        <v>174</v>
      </c>
      <c r="F21" s="25">
        <v>0.41</v>
      </c>
      <c r="G21" s="25">
        <v>8.5</v>
      </c>
    </row>
    <row r="22" spans="1:7" ht="15.75" thickBot="1" x14ac:dyDescent="0.3">
      <c r="A22" s="4">
        <v>16</v>
      </c>
      <c r="B22" s="11" t="s">
        <v>16</v>
      </c>
      <c r="C22" s="25">
        <v>0.5</v>
      </c>
      <c r="D22" s="33" t="s">
        <v>130</v>
      </c>
      <c r="E22" s="25" t="s">
        <v>175</v>
      </c>
      <c r="F22" s="25">
        <v>0</v>
      </c>
      <c r="G22" s="25">
        <v>33.5</v>
      </c>
    </row>
    <row r="23" spans="1:7" ht="15.75" thickBot="1" x14ac:dyDescent="0.3">
      <c r="A23" s="5">
        <v>20</v>
      </c>
      <c r="B23" s="8" t="s">
        <v>19</v>
      </c>
      <c r="C23" s="22">
        <v>0.5</v>
      </c>
      <c r="D23" s="30" t="s">
        <v>131</v>
      </c>
      <c r="E23" s="22" t="s">
        <v>175</v>
      </c>
      <c r="F23" s="22">
        <v>0.12</v>
      </c>
      <c r="G23" s="22">
        <v>36</v>
      </c>
    </row>
    <row r="24" spans="1:7" ht="15.75" thickBot="1" x14ac:dyDescent="0.3">
      <c r="A24" s="5">
        <v>21</v>
      </c>
      <c r="B24" s="8" t="s">
        <v>20</v>
      </c>
      <c r="C24" s="22">
        <v>0.5</v>
      </c>
      <c r="D24" s="30" t="s">
        <v>132</v>
      </c>
      <c r="E24" s="22" t="s">
        <v>175</v>
      </c>
      <c r="F24" s="22">
        <v>0.06</v>
      </c>
      <c r="G24" s="22">
        <v>35.5</v>
      </c>
    </row>
    <row r="25" spans="1:7" ht="15.75" thickBot="1" x14ac:dyDescent="0.3">
      <c r="A25" s="5">
        <v>22</v>
      </c>
      <c r="B25" s="8" t="s">
        <v>21</v>
      </c>
      <c r="C25" s="22">
        <v>0.5</v>
      </c>
      <c r="D25" s="30" t="s">
        <v>133</v>
      </c>
      <c r="E25" s="22" t="s">
        <v>175</v>
      </c>
      <c r="F25" s="22">
        <v>0.12</v>
      </c>
      <c r="G25" s="22">
        <v>33.5</v>
      </c>
    </row>
    <row r="26" spans="1:7" x14ac:dyDescent="0.25">
      <c r="A26" s="5">
        <v>23</v>
      </c>
      <c r="B26" s="8" t="s">
        <v>22</v>
      </c>
      <c r="C26" s="22">
        <v>0.5</v>
      </c>
      <c r="D26" s="30" t="s">
        <v>126</v>
      </c>
      <c r="E26" s="22" t="s">
        <v>175</v>
      </c>
      <c r="F26" s="22">
        <v>0.1</v>
      </c>
      <c r="G26" s="22">
        <v>34</v>
      </c>
    </row>
    <row r="27" spans="1:7" ht="15.75" thickBot="1" x14ac:dyDescent="0.3">
      <c r="A27" s="5"/>
      <c r="B27" s="9"/>
      <c r="C27" s="23">
        <v>2.5</v>
      </c>
      <c r="D27" s="31" t="s">
        <v>134</v>
      </c>
      <c r="E27" s="23" t="s">
        <v>175</v>
      </c>
      <c r="F27" s="23">
        <v>0.12</v>
      </c>
      <c r="G27" s="23">
        <v>35</v>
      </c>
    </row>
    <row r="28" spans="1:7" ht="15.75" thickBot="1" x14ac:dyDescent="0.3">
      <c r="A28" s="4">
        <v>24</v>
      </c>
      <c r="B28" s="11" t="s">
        <v>23</v>
      </c>
      <c r="C28" s="25">
        <v>1</v>
      </c>
      <c r="D28" s="33" t="s">
        <v>135</v>
      </c>
      <c r="E28" s="25" t="s">
        <v>175</v>
      </c>
      <c r="F28" s="25">
        <v>0.15</v>
      </c>
      <c r="G28" s="25">
        <v>35</v>
      </c>
    </row>
    <row r="29" spans="1:7" ht="15.75" thickBot="1" x14ac:dyDescent="0.3">
      <c r="A29" s="5">
        <v>27</v>
      </c>
      <c r="B29" s="8" t="s">
        <v>24</v>
      </c>
      <c r="C29" s="22">
        <v>0.5</v>
      </c>
      <c r="D29" s="30" t="s">
        <v>112</v>
      </c>
      <c r="E29" s="22" t="s">
        <v>175</v>
      </c>
      <c r="F29" s="22">
        <v>0.1</v>
      </c>
      <c r="G29" s="22">
        <v>34.5</v>
      </c>
    </row>
    <row r="30" spans="1:7" ht="15.75" thickBot="1" x14ac:dyDescent="0.3">
      <c r="A30" s="4">
        <v>30</v>
      </c>
      <c r="B30" s="14" t="s">
        <v>26</v>
      </c>
      <c r="C30" s="26">
        <v>1</v>
      </c>
      <c r="D30" s="26" t="s">
        <v>126</v>
      </c>
      <c r="E30" s="26" t="s">
        <v>176</v>
      </c>
      <c r="F30" s="26">
        <v>0.16</v>
      </c>
      <c r="G30" s="26">
        <v>33.5</v>
      </c>
    </row>
    <row r="31" spans="1:7" ht="15.75" thickBot="1" x14ac:dyDescent="0.3">
      <c r="A31" s="5">
        <v>32</v>
      </c>
      <c r="B31" s="15" t="s">
        <v>28</v>
      </c>
      <c r="C31" s="27">
        <v>0.5</v>
      </c>
      <c r="D31" s="27" t="s">
        <v>136</v>
      </c>
      <c r="E31" s="27" t="s">
        <v>175</v>
      </c>
      <c r="F31" s="27">
        <v>0</v>
      </c>
      <c r="G31" s="27">
        <v>34</v>
      </c>
    </row>
    <row r="32" spans="1:7" x14ac:dyDescent="0.25">
      <c r="A32" s="5">
        <v>33</v>
      </c>
      <c r="B32" s="15" t="s">
        <v>29</v>
      </c>
      <c r="C32" s="27">
        <v>0.5</v>
      </c>
      <c r="D32" s="27" t="s">
        <v>126</v>
      </c>
      <c r="E32" s="27" t="s">
        <v>175</v>
      </c>
      <c r="F32" s="27">
        <v>0.15</v>
      </c>
      <c r="G32" s="27">
        <v>31</v>
      </c>
    </row>
    <row r="33" spans="1:7" ht="15.75" thickBot="1" x14ac:dyDescent="0.3">
      <c r="A33" s="5"/>
      <c r="B33" s="16"/>
      <c r="C33" s="28">
        <v>1</v>
      </c>
      <c r="D33" s="28" t="s">
        <v>137</v>
      </c>
      <c r="E33" s="28" t="s">
        <v>176</v>
      </c>
      <c r="F33" s="28">
        <v>0.02</v>
      </c>
      <c r="G33" s="28">
        <v>35.5</v>
      </c>
    </row>
    <row r="34" spans="1:7" ht="15.75" thickBot="1" x14ac:dyDescent="0.3">
      <c r="A34" s="4">
        <v>34</v>
      </c>
      <c r="B34" s="14" t="s">
        <v>30</v>
      </c>
      <c r="C34" s="26">
        <v>1</v>
      </c>
      <c r="D34" s="26" t="s">
        <v>137</v>
      </c>
      <c r="E34" s="26" t="s">
        <v>175</v>
      </c>
      <c r="F34" s="26">
        <v>0</v>
      </c>
      <c r="G34" s="26">
        <v>33</v>
      </c>
    </row>
    <row r="35" spans="1:7" x14ac:dyDescent="0.25">
      <c r="A35" s="5">
        <v>35</v>
      </c>
      <c r="B35" s="15" t="s">
        <v>31</v>
      </c>
      <c r="C35" s="27">
        <v>1</v>
      </c>
      <c r="D35" s="27" t="s">
        <v>126</v>
      </c>
      <c r="E35" s="27" t="s">
        <v>176</v>
      </c>
      <c r="F35" s="27">
        <v>0.12</v>
      </c>
      <c r="G35" s="27">
        <v>31.5</v>
      </c>
    </row>
    <row r="36" spans="1:7" ht="15.75" thickBot="1" x14ac:dyDescent="0.3">
      <c r="A36" s="5"/>
      <c r="B36" s="16"/>
      <c r="C36" s="28">
        <v>3</v>
      </c>
      <c r="D36" s="28" t="s">
        <v>138</v>
      </c>
      <c r="E36" s="28" t="s">
        <v>175</v>
      </c>
      <c r="F36" s="28">
        <v>0</v>
      </c>
      <c r="G36" s="28">
        <v>34.5</v>
      </c>
    </row>
    <row r="37" spans="1:7" x14ac:dyDescent="0.25">
      <c r="A37" s="5">
        <v>38</v>
      </c>
      <c r="B37" s="15" t="s">
        <v>34</v>
      </c>
      <c r="C37" s="27">
        <v>1</v>
      </c>
      <c r="D37" s="27" t="s">
        <v>140</v>
      </c>
      <c r="E37" s="27" t="s">
        <v>176</v>
      </c>
      <c r="F37" s="27">
        <v>7.0000000000000007E-2</v>
      </c>
      <c r="G37" s="27">
        <v>33.5</v>
      </c>
    </row>
    <row r="38" spans="1:7" ht="15.75" thickBot="1" x14ac:dyDescent="0.3">
      <c r="A38" s="5"/>
      <c r="B38" s="17"/>
      <c r="C38" s="29">
        <v>3</v>
      </c>
      <c r="D38" s="29" t="s">
        <v>121</v>
      </c>
      <c r="E38" s="29" t="s">
        <v>175</v>
      </c>
      <c r="F38" s="29">
        <v>0</v>
      </c>
      <c r="G38" s="29">
        <v>32</v>
      </c>
    </row>
    <row r="39" spans="1:7" ht="15.75" thickBot="1" x14ac:dyDescent="0.3">
      <c r="A39" s="4">
        <v>42</v>
      </c>
      <c r="B39" s="14" t="s">
        <v>37</v>
      </c>
      <c r="C39" s="26">
        <v>0.5</v>
      </c>
      <c r="D39" s="26" t="s">
        <v>141</v>
      </c>
      <c r="E39" s="26" t="s">
        <v>175</v>
      </c>
      <c r="F39" s="26">
        <v>0</v>
      </c>
      <c r="G39" s="26">
        <v>32</v>
      </c>
    </row>
    <row r="40" spans="1:7" x14ac:dyDescent="0.25">
      <c r="A40" s="5">
        <v>43</v>
      </c>
      <c r="B40" s="15" t="s">
        <v>38</v>
      </c>
      <c r="C40" s="27">
        <v>1</v>
      </c>
      <c r="D40" s="27" t="s">
        <v>142</v>
      </c>
      <c r="E40" s="27" t="s">
        <v>176</v>
      </c>
      <c r="F40" s="27">
        <v>0.17</v>
      </c>
      <c r="G40" s="27">
        <v>30.5</v>
      </c>
    </row>
    <row r="41" spans="1:7" x14ac:dyDescent="0.25">
      <c r="A41" s="5"/>
      <c r="B41" s="17"/>
      <c r="C41" s="29">
        <v>1.5</v>
      </c>
      <c r="D41" s="29" t="s">
        <v>142</v>
      </c>
      <c r="E41" s="29" t="s">
        <v>175</v>
      </c>
      <c r="F41" s="29">
        <v>0.1</v>
      </c>
      <c r="G41" s="29">
        <v>31</v>
      </c>
    </row>
    <row r="42" spans="1:7" ht="15.75" thickBot="1" x14ac:dyDescent="0.3">
      <c r="A42" s="5"/>
      <c r="B42" s="16"/>
      <c r="C42" s="28">
        <v>4.5</v>
      </c>
      <c r="D42" s="28" t="s">
        <v>143</v>
      </c>
      <c r="E42" s="28" t="s">
        <v>175</v>
      </c>
      <c r="F42" s="28">
        <v>0.11</v>
      </c>
      <c r="G42" s="28">
        <v>32.5</v>
      </c>
    </row>
    <row r="43" spans="1:7" ht="15.75" thickBot="1" x14ac:dyDescent="0.3">
      <c r="A43" s="4">
        <v>45</v>
      </c>
      <c r="B43" s="14" t="s">
        <v>40</v>
      </c>
      <c r="C43" s="26">
        <v>0.5</v>
      </c>
      <c r="D43" s="26" t="s">
        <v>139</v>
      </c>
      <c r="E43" s="26" t="s">
        <v>175</v>
      </c>
      <c r="F43" s="26">
        <v>0</v>
      </c>
      <c r="G43" s="26">
        <v>31.5</v>
      </c>
    </row>
    <row r="44" spans="1:7" x14ac:dyDescent="0.25">
      <c r="A44" s="5">
        <v>46</v>
      </c>
      <c r="B44" s="15" t="s">
        <v>41</v>
      </c>
      <c r="C44" s="27">
        <v>0.5</v>
      </c>
      <c r="D44" s="27" t="s">
        <v>144</v>
      </c>
      <c r="E44" s="27" t="s">
        <v>175</v>
      </c>
      <c r="F44" s="27">
        <v>0.15</v>
      </c>
      <c r="G44" s="27">
        <v>30.5</v>
      </c>
    </row>
    <row r="45" spans="1:7" ht="15.75" thickBot="1" x14ac:dyDescent="0.3">
      <c r="A45" s="5"/>
      <c r="B45" s="16"/>
      <c r="C45" s="28">
        <v>1</v>
      </c>
      <c r="D45" s="28" t="s">
        <v>144</v>
      </c>
      <c r="E45" s="28" t="s">
        <v>176</v>
      </c>
      <c r="F45" s="28">
        <v>0</v>
      </c>
      <c r="G45" s="28">
        <v>31.5</v>
      </c>
    </row>
    <row r="46" spans="1:7" ht="15.75" thickBot="1" x14ac:dyDescent="0.3">
      <c r="A46" s="4">
        <v>47</v>
      </c>
      <c r="B46" s="14" t="s">
        <v>42</v>
      </c>
      <c r="C46" s="26">
        <v>0.5</v>
      </c>
      <c r="D46" s="26" t="s">
        <v>128</v>
      </c>
      <c r="E46" s="26" t="s">
        <v>175</v>
      </c>
      <c r="F46" s="26">
        <v>0</v>
      </c>
      <c r="G46" s="26">
        <v>32.5</v>
      </c>
    </row>
    <row r="47" spans="1:7" x14ac:dyDescent="0.25">
      <c r="A47" s="5">
        <v>49</v>
      </c>
      <c r="B47" s="15" t="s">
        <v>44</v>
      </c>
      <c r="C47" s="27">
        <v>0.5</v>
      </c>
      <c r="D47" s="27" t="s">
        <v>145</v>
      </c>
      <c r="E47" s="27" t="s">
        <v>175</v>
      </c>
      <c r="F47" s="27">
        <v>0.13</v>
      </c>
      <c r="G47" s="27">
        <v>30.5</v>
      </c>
    </row>
    <row r="48" spans="1:7" ht="15.75" thickBot="1" x14ac:dyDescent="0.3">
      <c r="A48" s="5"/>
      <c r="B48" s="16"/>
      <c r="C48" s="28">
        <v>1</v>
      </c>
      <c r="D48" s="28" t="s">
        <v>146</v>
      </c>
      <c r="E48" s="28" t="s">
        <v>175</v>
      </c>
      <c r="F48" s="28">
        <v>0</v>
      </c>
      <c r="G48" s="28">
        <v>34</v>
      </c>
    </row>
    <row r="49" spans="1:7" x14ac:dyDescent="0.25">
      <c r="A49" s="5">
        <v>50</v>
      </c>
      <c r="B49" s="15" t="s">
        <v>45</v>
      </c>
      <c r="C49" s="27">
        <v>1</v>
      </c>
      <c r="D49" s="27" t="s">
        <v>147</v>
      </c>
      <c r="E49" s="27" t="s">
        <v>176</v>
      </c>
      <c r="F49" s="27">
        <v>0.12</v>
      </c>
      <c r="G49" s="27">
        <v>30.5</v>
      </c>
    </row>
    <row r="50" spans="1:7" ht="15.75" thickBot="1" x14ac:dyDescent="0.3">
      <c r="A50" s="5"/>
      <c r="B50" s="16"/>
      <c r="C50" s="28">
        <v>3</v>
      </c>
      <c r="D50" s="28" t="s">
        <v>148</v>
      </c>
      <c r="E50" s="28" t="s">
        <v>175</v>
      </c>
      <c r="F50" s="28">
        <v>0</v>
      </c>
      <c r="G50" s="28">
        <v>34</v>
      </c>
    </row>
    <row r="51" spans="1:7" ht="15.75" thickBot="1" x14ac:dyDescent="0.3">
      <c r="A51" s="4">
        <v>54</v>
      </c>
      <c r="B51" s="14" t="s">
        <v>47</v>
      </c>
      <c r="C51" s="26">
        <v>0.5</v>
      </c>
      <c r="D51" s="26" t="s">
        <v>149</v>
      </c>
      <c r="E51" s="26" t="s">
        <v>175</v>
      </c>
      <c r="F51" s="26">
        <v>0</v>
      </c>
      <c r="G51" s="26">
        <v>30.5</v>
      </c>
    </row>
    <row r="52" spans="1:7" ht="15.75" thickBot="1" x14ac:dyDescent="0.3">
      <c r="A52" s="4">
        <v>55</v>
      </c>
      <c r="B52" s="14" t="s">
        <v>48</v>
      </c>
      <c r="C52" s="26">
        <v>0.5</v>
      </c>
      <c r="D52" s="26" t="s">
        <v>137</v>
      </c>
      <c r="E52" s="26" t="s">
        <v>175</v>
      </c>
      <c r="F52" s="26">
        <v>0</v>
      </c>
      <c r="G52" s="26">
        <v>32</v>
      </c>
    </row>
    <row r="53" spans="1:7" ht="15.75" thickBot="1" x14ac:dyDescent="0.3">
      <c r="A53" s="4">
        <v>56</v>
      </c>
      <c r="B53" s="14" t="s">
        <v>49</v>
      </c>
      <c r="C53" s="26">
        <v>0.5</v>
      </c>
      <c r="D53" s="26" t="s">
        <v>128</v>
      </c>
      <c r="E53" s="26" t="s">
        <v>175</v>
      </c>
      <c r="F53" s="26">
        <v>0</v>
      </c>
      <c r="G53" s="26">
        <v>32.5</v>
      </c>
    </row>
    <row r="54" spans="1:7" ht="15.75" thickBot="1" x14ac:dyDescent="0.3">
      <c r="A54" s="4">
        <v>60</v>
      </c>
      <c r="B54" s="14" t="s">
        <v>53</v>
      </c>
      <c r="C54" s="26">
        <v>0.5</v>
      </c>
      <c r="D54" s="26" t="s">
        <v>150</v>
      </c>
      <c r="E54" s="26" t="s">
        <v>175</v>
      </c>
      <c r="F54" s="26">
        <v>0.1</v>
      </c>
      <c r="G54" s="26">
        <v>31</v>
      </c>
    </row>
    <row r="55" spans="1:7" x14ac:dyDescent="0.25">
      <c r="A55" s="5">
        <v>64</v>
      </c>
      <c r="B55" s="15" t="s">
        <v>56</v>
      </c>
      <c r="C55" s="27">
        <v>0.5</v>
      </c>
      <c r="D55" s="27" t="s">
        <v>151</v>
      </c>
      <c r="E55" s="27" t="s">
        <v>175</v>
      </c>
      <c r="F55" s="27">
        <v>0.1</v>
      </c>
      <c r="G55" s="27">
        <v>32.5</v>
      </c>
    </row>
    <row r="56" spans="1:7" ht="15.75" thickBot="1" x14ac:dyDescent="0.3">
      <c r="A56" s="5"/>
      <c r="B56" s="16"/>
      <c r="C56" s="28">
        <v>2.5</v>
      </c>
      <c r="D56" s="28" t="s">
        <v>118</v>
      </c>
      <c r="E56" s="28" t="s">
        <v>175</v>
      </c>
      <c r="F56" s="28">
        <v>0</v>
      </c>
      <c r="G56" s="28">
        <v>34</v>
      </c>
    </row>
    <row r="57" spans="1:7" x14ac:dyDescent="0.25">
      <c r="A57" s="5">
        <v>65</v>
      </c>
      <c r="B57" s="15" t="s">
        <v>57</v>
      </c>
      <c r="C57" s="27">
        <v>0.5</v>
      </c>
      <c r="D57" s="27" t="s">
        <v>152</v>
      </c>
      <c r="E57" s="27" t="s">
        <v>175</v>
      </c>
      <c r="F57" s="27">
        <v>0</v>
      </c>
      <c r="G57" s="27">
        <v>31.5</v>
      </c>
    </row>
    <row r="58" spans="1:7" ht="15.75" thickBot="1" x14ac:dyDescent="0.3">
      <c r="A58" s="5"/>
      <c r="B58" s="16"/>
      <c r="C58" s="28">
        <v>1</v>
      </c>
      <c r="D58" s="28" t="s">
        <v>153</v>
      </c>
      <c r="E58" s="28" t="s">
        <v>175</v>
      </c>
      <c r="F58" s="28">
        <v>0</v>
      </c>
      <c r="G58" s="28">
        <v>33</v>
      </c>
    </row>
    <row r="59" spans="1:7" ht="15.75" thickBot="1" x14ac:dyDescent="0.3">
      <c r="A59" s="4">
        <v>67</v>
      </c>
      <c r="B59" s="14" t="s">
        <v>59</v>
      </c>
      <c r="C59" s="26">
        <v>0.5</v>
      </c>
      <c r="D59" s="26" t="s">
        <v>154</v>
      </c>
      <c r="E59" s="26" t="s">
        <v>175</v>
      </c>
      <c r="F59" s="26">
        <v>0</v>
      </c>
      <c r="G59" s="26">
        <v>34</v>
      </c>
    </row>
    <row r="60" spans="1:7" ht="15.75" thickBot="1" x14ac:dyDescent="0.3">
      <c r="A60" s="4">
        <v>68</v>
      </c>
      <c r="B60" s="14" t="s">
        <v>60</v>
      </c>
      <c r="C60" s="26">
        <v>0.5</v>
      </c>
      <c r="D60" s="26" t="s">
        <v>155</v>
      </c>
      <c r="E60" s="26" t="s">
        <v>175</v>
      </c>
      <c r="F60" s="26">
        <v>0</v>
      </c>
      <c r="G60" s="26">
        <v>32.5</v>
      </c>
    </row>
    <row r="61" spans="1:7" ht="15.75" thickBot="1" x14ac:dyDescent="0.3">
      <c r="A61" s="5"/>
      <c r="B61" s="19"/>
      <c r="C61" s="28">
        <v>2.5</v>
      </c>
      <c r="D61" s="28" t="s">
        <v>156</v>
      </c>
      <c r="E61" s="28" t="s">
        <v>175</v>
      </c>
      <c r="F61" s="28">
        <v>0</v>
      </c>
      <c r="G61" s="28">
        <v>31</v>
      </c>
    </row>
    <row r="62" spans="1:7" ht="15.75" thickBot="1" x14ac:dyDescent="0.3">
      <c r="A62" s="4">
        <v>72</v>
      </c>
      <c r="B62" s="14" t="s">
        <v>63</v>
      </c>
      <c r="C62" s="26">
        <v>0.5</v>
      </c>
      <c r="D62" s="26"/>
      <c r="E62" s="26" t="s">
        <v>175</v>
      </c>
      <c r="F62" s="26">
        <v>0.12</v>
      </c>
      <c r="G62" s="26">
        <v>31</v>
      </c>
    </row>
    <row r="63" spans="1:7" ht="15.75" thickBot="1" x14ac:dyDescent="0.3">
      <c r="A63" s="4">
        <v>75</v>
      </c>
      <c r="B63" s="14" t="s">
        <v>66</v>
      </c>
      <c r="C63" s="26">
        <v>0.5</v>
      </c>
      <c r="D63" s="26" t="s">
        <v>157</v>
      </c>
      <c r="E63" s="26" t="s">
        <v>175</v>
      </c>
      <c r="F63" s="26">
        <v>0</v>
      </c>
      <c r="G63" s="26">
        <v>32</v>
      </c>
    </row>
    <row r="64" spans="1:7" ht="15.75" thickBot="1" x14ac:dyDescent="0.3">
      <c r="A64" s="4">
        <v>77</v>
      </c>
      <c r="B64" s="14" t="s">
        <v>68</v>
      </c>
      <c r="C64" s="26">
        <v>0.5</v>
      </c>
      <c r="D64" s="26" t="s">
        <v>158</v>
      </c>
      <c r="E64" s="26" t="s">
        <v>175</v>
      </c>
      <c r="F64" s="26">
        <v>0</v>
      </c>
      <c r="G64" s="26">
        <v>31.5</v>
      </c>
    </row>
    <row r="65" spans="1:7" x14ac:dyDescent="0.25">
      <c r="A65" s="4">
        <v>80</v>
      </c>
      <c r="B65" s="18" t="s">
        <v>71</v>
      </c>
      <c r="C65" s="27">
        <v>0.5</v>
      </c>
      <c r="D65" s="27" t="s">
        <v>159</v>
      </c>
      <c r="E65" s="27" t="s">
        <v>175</v>
      </c>
      <c r="F65" s="27">
        <v>0</v>
      </c>
      <c r="G65" s="27">
        <v>31.5</v>
      </c>
    </row>
    <row r="66" spans="1:7" ht="15.75" thickBot="1" x14ac:dyDescent="0.3">
      <c r="B66" s="19"/>
      <c r="C66" s="28">
        <v>1</v>
      </c>
      <c r="D66" s="28" t="s">
        <v>159</v>
      </c>
      <c r="E66" s="28" t="s">
        <v>175</v>
      </c>
      <c r="F66" s="28">
        <v>0.1</v>
      </c>
      <c r="G66" s="28">
        <v>33</v>
      </c>
    </row>
    <row r="67" spans="1:7" x14ac:dyDescent="0.25">
      <c r="A67" s="4">
        <v>83</v>
      </c>
      <c r="B67" s="15" t="s">
        <v>74</v>
      </c>
      <c r="C67" s="27">
        <v>0.5</v>
      </c>
      <c r="D67" s="27" t="s">
        <v>160</v>
      </c>
      <c r="E67" s="27" t="s">
        <v>175</v>
      </c>
      <c r="F67" s="27">
        <v>0.13</v>
      </c>
      <c r="G67" s="27">
        <v>32</v>
      </c>
    </row>
    <row r="68" spans="1:7" x14ac:dyDescent="0.25">
      <c r="B68" s="17"/>
      <c r="C68" s="29">
        <v>3</v>
      </c>
      <c r="D68" s="29" t="s">
        <v>138</v>
      </c>
      <c r="E68" s="29" t="s">
        <v>175</v>
      </c>
      <c r="F68" s="29">
        <v>0</v>
      </c>
      <c r="G68" s="29">
        <v>34.5</v>
      </c>
    </row>
    <row r="69" spans="1:7" ht="15.75" thickBot="1" x14ac:dyDescent="0.3">
      <c r="B69" s="16"/>
      <c r="C69" s="28">
        <v>6</v>
      </c>
      <c r="D69" s="28" t="s">
        <v>138</v>
      </c>
      <c r="E69" s="28" t="s">
        <v>175</v>
      </c>
      <c r="F69" s="28">
        <v>0</v>
      </c>
      <c r="G69" s="28">
        <v>34</v>
      </c>
    </row>
    <row r="70" spans="1:7" ht="15.75" thickBot="1" x14ac:dyDescent="0.3">
      <c r="A70" s="4">
        <v>84</v>
      </c>
      <c r="B70" s="14" t="s">
        <v>75</v>
      </c>
      <c r="C70" s="26">
        <v>1</v>
      </c>
      <c r="D70" s="26" t="s">
        <v>112</v>
      </c>
      <c r="E70" s="26" t="s">
        <v>176</v>
      </c>
      <c r="F70" s="26">
        <v>0.06</v>
      </c>
      <c r="G70" s="26">
        <v>32.5</v>
      </c>
    </row>
    <row r="71" spans="1:7" x14ac:dyDescent="0.25">
      <c r="B71" s="17"/>
      <c r="C71" s="29">
        <v>1</v>
      </c>
      <c r="D71" s="29" t="s">
        <v>112</v>
      </c>
      <c r="E71" s="29" t="s">
        <v>176</v>
      </c>
      <c r="F71" s="29">
        <v>0.18</v>
      </c>
      <c r="G71" s="29">
        <v>31.5</v>
      </c>
    </row>
    <row r="72" spans="1:7" ht="15.75" thickBot="1" x14ac:dyDescent="0.3">
      <c r="B72" s="16"/>
      <c r="C72" s="28">
        <v>1.5</v>
      </c>
      <c r="D72" s="28" t="s">
        <v>161</v>
      </c>
      <c r="E72" s="28" t="s">
        <v>175</v>
      </c>
      <c r="F72" s="28">
        <v>0</v>
      </c>
      <c r="G72" s="28">
        <v>35</v>
      </c>
    </row>
    <row r="73" spans="1:7" x14ac:dyDescent="0.25">
      <c r="A73" s="4">
        <v>86</v>
      </c>
      <c r="B73" s="15" t="s">
        <v>77</v>
      </c>
      <c r="C73" s="27">
        <v>0.5</v>
      </c>
      <c r="D73" s="27" t="s">
        <v>161</v>
      </c>
      <c r="E73" s="27" t="s">
        <v>175</v>
      </c>
      <c r="F73" s="27">
        <v>0.06</v>
      </c>
      <c r="G73" s="27">
        <v>31</v>
      </c>
    </row>
    <row r="74" spans="1:7" ht="15.75" thickBot="1" x14ac:dyDescent="0.3">
      <c r="B74" s="16"/>
      <c r="C74" s="28">
        <v>1</v>
      </c>
      <c r="D74" s="28" t="s">
        <v>161</v>
      </c>
      <c r="E74" s="28" t="s">
        <v>176</v>
      </c>
      <c r="F74" s="28">
        <v>0.1</v>
      </c>
      <c r="G74" s="28">
        <v>32.5</v>
      </c>
    </row>
    <row r="75" spans="1:7" x14ac:dyDescent="0.25">
      <c r="A75" s="4">
        <v>87</v>
      </c>
      <c r="B75" s="15" t="s">
        <v>78</v>
      </c>
      <c r="C75" s="27">
        <v>0.5</v>
      </c>
      <c r="D75" s="27" t="s">
        <v>162</v>
      </c>
      <c r="E75" s="27" t="s">
        <v>175</v>
      </c>
      <c r="F75" s="27">
        <v>0.16</v>
      </c>
      <c r="G75" s="27">
        <v>31</v>
      </c>
    </row>
    <row r="76" spans="1:7" ht="15.75" thickBot="1" x14ac:dyDescent="0.3">
      <c r="B76" s="16"/>
      <c r="C76" s="28">
        <v>1</v>
      </c>
      <c r="D76" s="28" t="s">
        <v>141</v>
      </c>
      <c r="E76" s="28" t="s">
        <v>176</v>
      </c>
      <c r="F76" s="28">
        <v>0</v>
      </c>
      <c r="G76" s="28">
        <v>35.5</v>
      </c>
    </row>
    <row r="77" spans="1:7" ht="15.75" thickBot="1" x14ac:dyDescent="0.3">
      <c r="A77" s="4">
        <v>89</v>
      </c>
      <c r="B77" s="14" t="s">
        <v>80</v>
      </c>
      <c r="C77" s="26">
        <v>1</v>
      </c>
      <c r="D77" s="26" t="s">
        <v>149</v>
      </c>
      <c r="E77" s="26" t="s">
        <v>176</v>
      </c>
      <c r="F77" s="26">
        <v>0.1</v>
      </c>
      <c r="G77" s="26">
        <v>34.5</v>
      </c>
    </row>
    <row r="78" spans="1:7" x14ac:dyDescent="0.25">
      <c r="A78" s="4">
        <v>90</v>
      </c>
      <c r="B78" s="15" t="s">
        <v>81</v>
      </c>
      <c r="C78" s="27">
        <v>0.5</v>
      </c>
      <c r="D78" s="27" t="s">
        <v>163</v>
      </c>
      <c r="E78" s="27" t="s">
        <v>175</v>
      </c>
      <c r="F78" s="27">
        <v>0.18</v>
      </c>
      <c r="G78" s="27">
        <v>31</v>
      </c>
    </row>
    <row r="79" spans="1:7" ht="15.75" thickBot="1" x14ac:dyDescent="0.3">
      <c r="B79" s="17"/>
      <c r="C79" s="29">
        <v>1</v>
      </c>
      <c r="D79" s="29" t="s">
        <v>158</v>
      </c>
      <c r="E79" s="29" t="s">
        <v>176</v>
      </c>
      <c r="F79" s="29">
        <v>0</v>
      </c>
      <c r="G79" s="29">
        <v>33.5</v>
      </c>
    </row>
    <row r="80" spans="1:7" ht="15.75" thickBot="1" x14ac:dyDescent="0.3">
      <c r="A80" s="4">
        <v>92</v>
      </c>
      <c r="B80" s="14" t="s">
        <v>83</v>
      </c>
      <c r="C80" s="26">
        <v>1</v>
      </c>
      <c r="D80" s="26" t="s">
        <v>128</v>
      </c>
      <c r="E80" s="26" t="s">
        <v>176</v>
      </c>
      <c r="F80" s="26">
        <v>0</v>
      </c>
      <c r="G80" s="26">
        <v>34</v>
      </c>
    </row>
    <row r="81" spans="1:7" ht="15.75" thickBot="1" x14ac:dyDescent="0.3">
      <c r="A81" s="4">
        <v>94</v>
      </c>
      <c r="B81" s="14" t="s">
        <v>85</v>
      </c>
      <c r="C81" s="26">
        <v>1</v>
      </c>
      <c r="D81" s="26" t="s">
        <v>164</v>
      </c>
      <c r="E81" s="26" t="s">
        <v>176</v>
      </c>
      <c r="F81" s="26">
        <v>0.15</v>
      </c>
      <c r="G81" s="26">
        <v>30.5</v>
      </c>
    </row>
    <row r="82" spans="1:7" ht="15.75" thickBot="1" x14ac:dyDescent="0.3">
      <c r="A82" s="4">
        <v>96</v>
      </c>
      <c r="B82" s="14" t="s">
        <v>87</v>
      </c>
      <c r="C82" s="26">
        <v>0.5</v>
      </c>
      <c r="D82" s="26" t="s">
        <v>128</v>
      </c>
      <c r="E82" s="26" t="s">
        <v>175</v>
      </c>
      <c r="F82" s="26">
        <v>0</v>
      </c>
      <c r="G82" s="26">
        <v>31</v>
      </c>
    </row>
    <row r="83" spans="1:7" ht="15.75" thickBot="1" x14ac:dyDescent="0.3">
      <c r="A83" s="4">
        <v>99</v>
      </c>
      <c r="B83" s="14" t="s">
        <v>88</v>
      </c>
      <c r="C83" s="26">
        <v>1</v>
      </c>
      <c r="D83" s="26" t="s">
        <v>165</v>
      </c>
      <c r="E83" s="26" t="s">
        <v>176</v>
      </c>
      <c r="F83" s="26">
        <v>0.05</v>
      </c>
      <c r="G83" s="26">
        <v>34</v>
      </c>
    </row>
    <row r="84" spans="1:7" ht="15.75" thickBot="1" x14ac:dyDescent="0.3">
      <c r="A84" s="4">
        <v>103</v>
      </c>
      <c r="B84" s="14" t="s">
        <v>92</v>
      </c>
      <c r="C84" s="26">
        <v>0</v>
      </c>
      <c r="D84" s="26" t="s">
        <v>149</v>
      </c>
      <c r="E84" s="26" t="s">
        <v>175</v>
      </c>
      <c r="F84" s="26">
        <v>0</v>
      </c>
      <c r="G84" s="26">
        <v>33.5</v>
      </c>
    </row>
    <row r="85" spans="1:7" x14ac:dyDescent="0.25">
      <c r="A85" s="4">
        <v>105</v>
      </c>
      <c r="B85" s="15" t="s">
        <v>93</v>
      </c>
      <c r="C85" s="27">
        <v>1</v>
      </c>
      <c r="D85" s="27" t="s">
        <v>166</v>
      </c>
      <c r="E85" s="27" t="s">
        <v>176</v>
      </c>
      <c r="F85" s="27">
        <v>0.1</v>
      </c>
      <c r="G85" s="27">
        <v>31.5</v>
      </c>
    </row>
    <row r="86" spans="1:7" ht="15.75" thickBot="1" x14ac:dyDescent="0.3">
      <c r="B86" s="17"/>
      <c r="C86" s="29">
        <v>1.5</v>
      </c>
      <c r="D86" s="29" t="s">
        <v>167</v>
      </c>
      <c r="E86" s="29" t="s">
        <v>175</v>
      </c>
      <c r="F86" s="29">
        <v>0</v>
      </c>
      <c r="G86" s="29">
        <v>32.5</v>
      </c>
    </row>
    <row r="87" spans="1:7" x14ac:dyDescent="0.25">
      <c r="A87" s="4">
        <v>106</v>
      </c>
      <c r="B87" s="15" t="s">
        <v>94</v>
      </c>
      <c r="C87" s="27">
        <v>0.5</v>
      </c>
      <c r="D87" s="27" t="s">
        <v>163</v>
      </c>
      <c r="E87" s="27" t="s">
        <v>175</v>
      </c>
      <c r="F87" s="27">
        <v>0.15</v>
      </c>
      <c r="G87" s="27">
        <v>30.5</v>
      </c>
    </row>
    <row r="88" spans="1:7" x14ac:dyDescent="0.25">
      <c r="B88" s="17"/>
      <c r="C88" s="29">
        <v>1</v>
      </c>
      <c r="D88" s="29" t="s">
        <v>163</v>
      </c>
      <c r="E88" s="29" t="s">
        <v>175</v>
      </c>
      <c r="F88" s="29">
        <v>0.12</v>
      </c>
      <c r="G88" s="29">
        <v>32</v>
      </c>
    </row>
    <row r="89" spans="1:7" x14ac:dyDescent="0.25">
      <c r="B89" s="17"/>
      <c r="C89" s="29">
        <v>1.7</v>
      </c>
      <c r="D89" s="29" t="s">
        <v>168</v>
      </c>
      <c r="E89" s="29" t="s">
        <v>175</v>
      </c>
      <c r="F89" s="29">
        <v>0</v>
      </c>
      <c r="G89" s="29">
        <v>33.5</v>
      </c>
    </row>
    <row r="90" spans="1:7" ht="15.75" thickBot="1" x14ac:dyDescent="0.3">
      <c r="B90" s="16"/>
      <c r="C90" s="28">
        <v>3</v>
      </c>
      <c r="D90" s="28" t="s">
        <v>146</v>
      </c>
      <c r="E90" s="28" t="s">
        <v>175</v>
      </c>
      <c r="F90" s="28">
        <v>0</v>
      </c>
      <c r="G90" s="28">
        <v>35</v>
      </c>
    </row>
    <row r="91" spans="1:7" ht="15.75" thickBot="1" x14ac:dyDescent="0.3">
      <c r="A91" s="4">
        <v>109</v>
      </c>
      <c r="B91" s="15" t="s">
        <v>97</v>
      </c>
      <c r="C91" s="27">
        <v>1</v>
      </c>
      <c r="D91" s="27" t="s">
        <v>169</v>
      </c>
      <c r="E91" s="27" t="s">
        <v>176</v>
      </c>
      <c r="F91" s="27">
        <v>0.1</v>
      </c>
      <c r="G91" s="27">
        <v>32</v>
      </c>
    </row>
    <row r="92" spans="1:7" ht="15.75" thickBot="1" x14ac:dyDescent="0.3">
      <c r="A92" s="4">
        <v>112</v>
      </c>
      <c r="B92" s="14" t="s">
        <v>99</v>
      </c>
      <c r="C92" s="26">
        <v>0.5</v>
      </c>
      <c r="D92" s="26" t="s">
        <v>170</v>
      </c>
      <c r="E92" s="26" t="s">
        <v>175</v>
      </c>
      <c r="F92" s="26">
        <v>0</v>
      </c>
      <c r="G92" s="26">
        <v>30.5</v>
      </c>
    </row>
    <row r="93" spans="1:7" ht="15.75" thickBot="1" x14ac:dyDescent="0.3">
      <c r="A93" s="4">
        <v>113</v>
      </c>
      <c r="B93" s="14" t="s">
        <v>100</v>
      </c>
      <c r="C93" s="26">
        <v>0.5</v>
      </c>
      <c r="D93" s="26" t="s">
        <v>171</v>
      </c>
      <c r="E93" s="26" t="s">
        <v>175</v>
      </c>
      <c r="F93" s="26">
        <v>0</v>
      </c>
      <c r="G93" s="26">
        <v>31.5</v>
      </c>
    </row>
    <row r="94" spans="1:7" ht="15.75" thickBot="1" x14ac:dyDescent="0.3">
      <c r="A94" s="4">
        <v>114</v>
      </c>
      <c r="B94" s="14" t="s">
        <v>101</v>
      </c>
      <c r="C94" s="26">
        <v>0.5</v>
      </c>
      <c r="D94" s="26" t="s">
        <v>169</v>
      </c>
      <c r="E94" s="26" t="s">
        <v>175</v>
      </c>
      <c r="F94" s="26">
        <v>0.1</v>
      </c>
      <c r="G94" s="26">
        <v>33</v>
      </c>
    </row>
    <row r="95" spans="1:7" ht="15.75" thickBot="1" x14ac:dyDescent="0.3">
      <c r="A95" s="4">
        <v>115</v>
      </c>
      <c r="B95" s="14" t="s">
        <v>102</v>
      </c>
      <c r="C95" s="26">
        <v>0.5</v>
      </c>
      <c r="D95" s="26" t="s">
        <v>139</v>
      </c>
      <c r="E95" s="26" t="s">
        <v>175</v>
      </c>
      <c r="F95" s="26">
        <v>0</v>
      </c>
      <c r="G95" s="26">
        <v>34.5</v>
      </c>
    </row>
    <row r="96" spans="1:7" x14ac:dyDescent="0.25">
      <c r="F96" s="36">
        <f>AVERAGE(F3:F95)</f>
        <v>7.0645161290322556E-2</v>
      </c>
      <c r="G96" s="36">
        <f>AVERAGE(G3:G95)</f>
        <v>31.903225806451612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7A66-8576-4BDA-83E5-14C5E912688B}">
  <dimension ref="A1:D24"/>
  <sheetViews>
    <sheetView workbookViewId="0">
      <selection activeCell="C5" sqref="C5"/>
    </sheetView>
  </sheetViews>
  <sheetFormatPr defaultColWidth="9.140625" defaultRowHeight="15" x14ac:dyDescent="0.25"/>
  <cols>
    <col min="1" max="3" width="9.140625" style="70"/>
    <col min="4" max="4" width="8.5703125" style="70" bestFit="1" customWidth="1"/>
    <col min="5" max="16384" width="9.140625" style="70"/>
  </cols>
  <sheetData>
    <row r="1" spans="1:4" x14ac:dyDescent="0.25">
      <c r="A1" s="69" t="s">
        <v>255</v>
      </c>
      <c r="B1" s="69" t="s">
        <v>256</v>
      </c>
      <c r="C1" s="69" t="s">
        <v>257</v>
      </c>
    </row>
    <row r="2" spans="1:4" x14ac:dyDescent="0.25">
      <c r="A2" s="37" t="s">
        <v>21</v>
      </c>
      <c r="B2" s="29" t="s">
        <v>188</v>
      </c>
      <c r="C2" s="41">
        <v>1.5400000000000002E-5</v>
      </c>
      <c r="D2" s="73">
        <f>C2/10^-7</f>
        <v>154.00000000000003</v>
      </c>
    </row>
    <row r="3" spans="1:4" x14ac:dyDescent="0.25">
      <c r="A3" s="37" t="s">
        <v>2</v>
      </c>
      <c r="B3" s="29" t="s">
        <v>179</v>
      </c>
      <c r="C3" s="41">
        <v>6.1500000000000004E-6</v>
      </c>
      <c r="D3" s="73">
        <f t="shared" ref="D3:D24" si="0">C3/10^-7</f>
        <v>61.500000000000007</v>
      </c>
    </row>
    <row r="4" spans="1:4" x14ac:dyDescent="0.25">
      <c r="A4" s="29" t="s">
        <v>4</v>
      </c>
      <c r="B4" s="29" t="s">
        <v>180</v>
      </c>
      <c r="C4" s="41">
        <v>1.66E-4</v>
      </c>
      <c r="D4" s="73">
        <f t="shared" si="0"/>
        <v>1660</v>
      </c>
    </row>
    <row r="5" spans="1:4" x14ac:dyDescent="0.25">
      <c r="A5" s="37" t="s">
        <v>11</v>
      </c>
      <c r="B5" s="29" t="s">
        <v>182</v>
      </c>
      <c r="C5" s="41">
        <v>5.9599999999999997E-6</v>
      </c>
      <c r="D5" s="73">
        <f t="shared" si="0"/>
        <v>59.6</v>
      </c>
    </row>
    <row r="6" spans="1:4" x14ac:dyDescent="0.25">
      <c r="A6" s="29" t="s">
        <v>17</v>
      </c>
      <c r="B6" s="29" t="s">
        <v>186</v>
      </c>
      <c r="C6" s="41">
        <v>1.4899999999999999E-4</v>
      </c>
      <c r="D6" s="73">
        <f t="shared" si="0"/>
        <v>1490</v>
      </c>
    </row>
    <row r="7" spans="1:4" x14ac:dyDescent="0.25">
      <c r="A7" s="37" t="s">
        <v>24</v>
      </c>
      <c r="B7" s="29" t="s">
        <v>191</v>
      </c>
      <c r="C7" s="41">
        <v>1.0200000000000001E-5</v>
      </c>
      <c r="D7" s="73">
        <f t="shared" si="0"/>
        <v>102.00000000000001</v>
      </c>
    </row>
    <row r="8" spans="1:4" x14ac:dyDescent="0.25">
      <c r="A8" s="37" t="s">
        <v>28</v>
      </c>
      <c r="B8" s="29" t="s">
        <v>192</v>
      </c>
      <c r="C8" s="41">
        <v>3.0299999999999998E-6</v>
      </c>
      <c r="D8" s="73">
        <f t="shared" si="0"/>
        <v>30.3</v>
      </c>
    </row>
    <row r="9" spans="1:4" x14ac:dyDescent="0.25">
      <c r="A9" s="29" t="s">
        <v>30</v>
      </c>
      <c r="B9" s="29" t="s">
        <v>193</v>
      </c>
      <c r="C9" s="41">
        <v>1.2699999999999999E-6</v>
      </c>
      <c r="D9" s="73">
        <f t="shared" si="0"/>
        <v>12.7</v>
      </c>
    </row>
    <row r="10" spans="1:4" x14ac:dyDescent="0.25">
      <c r="A10" s="37" t="s">
        <v>81</v>
      </c>
      <c r="B10" s="29" t="s">
        <v>197</v>
      </c>
      <c r="C10" s="41">
        <v>2.5600000000000001E-6</v>
      </c>
      <c r="D10" s="73">
        <f t="shared" si="0"/>
        <v>25.6</v>
      </c>
    </row>
    <row r="11" spans="1:4" x14ac:dyDescent="0.25">
      <c r="A11" s="29" t="s">
        <v>16</v>
      </c>
      <c r="B11" s="29" t="s">
        <v>185</v>
      </c>
      <c r="C11" s="41">
        <v>2.34E-4</v>
      </c>
      <c r="D11" s="73">
        <f t="shared" si="0"/>
        <v>2340</v>
      </c>
    </row>
    <row r="12" spans="1:4" x14ac:dyDescent="0.25">
      <c r="A12" s="37" t="s">
        <v>19</v>
      </c>
      <c r="B12" s="29" t="s">
        <v>187</v>
      </c>
      <c r="C12" s="41">
        <v>2.7E-4</v>
      </c>
      <c r="D12" s="73">
        <f t="shared" si="0"/>
        <v>2700</v>
      </c>
    </row>
    <row r="13" spans="1:4" x14ac:dyDescent="0.25">
      <c r="A13" s="29" t="s">
        <v>25</v>
      </c>
      <c r="B13" s="29" t="s">
        <v>185</v>
      </c>
      <c r="C13" s="41">
        <v>1.17E-4</v>
      </c>
      <c r="D13" s="73">
        <f t="shared" si="0"/>
        <v>1170</v>
      </c>
    </row>
    <row r="14" spans="1:4" x14ac:dyDescent="0.25">
      <c r="A14" s="29" t="s">
        <v>9</v>
      </c>
      <c r="B14" s="71" t="s">
        <v>181</v>
      </c>
      <c r="C14" s="41">
        <v>2.33E-4</v>
      </c>
      <c r="D14" s="73">
        <f t="shared" si="0"/>
        <v>2330</v>
      </c>
    </row>
    <row r="15" spans="1:4" x14ac:dyDescent="0.25">
      <c r="A15" s="29"/>
      <c r="B15" s="29" t="s">
        <v>181</v>
      </c>
      <c r="C15" s="41">
        <v>9.98E-5</v>
      </c>
      <c r="D15" s="73">
        <f t="shared" si="0"/>
        <v>998</v>
      </c>
    </row>
    <row r="16" spans="1:4" x14ac:dyDescent="0.25">
      <c r="A16" s="37" t="s">
        <v>14</v>
      </c>
      <c r="B16" s="29" t="s">
        <v>183</v>
      </c>
      <c r="C16" s="41">
        <v>1.1E-5</v>
      </c>
      <c r="D16" s="73">
        <f t="shared" si="0"/>
        <v>110</v>
      </c>
    </row>
    <row r="17" spans="1:4" x14ac:dyDescent="0.25">
      <c r="A17" s="37"/>
      <c r="B17" s="29" t="s">
        <v>184</v>
      </c>
      <c r="C17" s="41">
        <v>2.1999999999999999E-5</v>
      </c>
      <c r="D17" s="73">
        <f t="shared" si="0"/>
        <v>220</v>
      </c>
    </row>
    <row r="18" spans="1:4" x14ac:dyDescent="0.25">
      <c r="A18" s="37" t="s">
        <v>22</v>
      </c>
      <c r="B18" s="29" t="s">
        <v>189</v>
      </c>
      <c r="C18" s="41">
        <v>1.6199999999999999E-6</v>
      </c>
      <c r="D18" s="73">
        <f t="shared" si="0"/>
        <v>16.2</v>
      </c>
    </row>
    <row r="19" spans="1:4" x14ac:dyDescent="0.25">
      <c r="A19" s="29" t="s">
        <v>23</v>
      </c>
      <c r="B19" s="29" t="s">
        <v>190</v>
      </c>
      <c r="C19" s="41">
        <v>1.9E-6</v>
      </c>
      <c r="D19" s="73">
        <f t="shared" si="0"/>
        <v>19</v>
      </c>
    </row>
    <row r="20" spans="1:4" x14ac:dyDescent="0.25">
      <c r="A20" s="37" t="s">
        <v>33</v>
      </c>
      <c r="B20" s="29" t="s">
        <v>194</v>
      </c>
      <c r="C20" s="41">
        <v>6.9299999999999997E-6</v>
      </c>
      <c r="D20" s="73">
        <f t="shared" si="0"/>
        <v>69.3</v>
      </c>
    </row>
    <row r="21" spans="1:4" x14ac:dyDescent="0.25">
      <c r="A21" s="37" t="s">
        <v>76</v>
      </c>
      <c r="B21" s="29" t="s">
        <v>195</v>
      </c>
      <c r="C21" s="41">
        <v>1.7999999999999999E-6</v>
      </c>
      <c r="D21" s="73">
        <f t="shared" si="0"/>
        <v>18</v>
      </c>
    </row>
    <row r="22" spans="1:4" x14ac:dyDescent="0.25">
      <c r="A22" s="37" t="s">
        <v>77</v>
      </c>
      <c r="B22" s="72" t="s">
        <v>196</v>
      </c>
      <c r="C22" s="41">
        <v>4.5399999999999997E-6</v>
      </c>
      <c r="D22" s="73">
        <f t="shared" si="0"/>
        <v>45.4</v>
      </c>
    </row>
    <row r="23" spans="1:4" x14ac:dyDescent="0.25">
      <c r="A23" s="29" t="s">
        <v>83</v>
      </c>
      <c r="B23" s="29" t="s">
        <v>198</v>
      </c>
      <c r="C23" s="41">
        <v>1.6199999999999999E-6</v>
      </c>
      <c r="D23" s="73">
        <f t="shared" si="0"/>
        <v>16.2</v>
      </c>
    </row>
    <row r="24" spans="1:4" x14ac:dyDescent="0.25">
      <c r="A24" s="29" t="s">
        <v>88</v>
      </c>
      <c r="B24" s="29" t="s">
        <v>199</v>
      </c>
      <c r="C24" s="41">
        <v>7.8400000000000003E-7</v>
      </c>
      <c r="D24" s="73">
        <f t="shared" si="0"/>
        <v>7.8400000000000007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67A5-DAD3-4973-8AC0-41C4AD7FE57B}">
  <dimension ref="A1:N110"/>
  <sheetViews>
    <sheetView workbookViewId="0">
      <pane ySplit="2" topLeftCell="A84" activePane="bottomLeft" state="frozen"/>
      <selection pane="bottomLeft" activeCell="C97" sqref="C97"/>
    </sheetView>
  </sheetViews>
  <sheetFormatPr defaultRowHeight="15" x14ac:dyDescent="0.25"/>
  <cols>
    <col min="1" max="1" width="12" style="4" bestFit="1" customWidth="1"/>
    <col min="2" max="2" width="9.140625" style="4"/>
    <col min="3" max="3" width="13.42578125" style="4" customWidth="1"/>
    <col min="4" max="4" width="12.5703125" style="4" customWidth="1"/>
    <col min="5" max="5" width="15.5703125" bestFit="1" customWidth="1"/>
    <col min="6" max="6" width="11.5703125" customWidth="1"/>
    <col min="13" max="13" width="13.42578125" style="29" customWidth="1"/>
    <col min="14" max="14" width="12.5703125" style="29" customWidth="1"/>
  </cols>
  <sheetData>
    <row r="1" spans="1:14" x14ac:dyDescent="0.25">
      <c r="A1" s="6" t="s">
        <v>1</v>
      </c>
      <c r="B1" s="39" t="s">
        <v>201</v>
      </c>
      <c r="C1" s="39"/>
      <c r="D1" s="39"/>
      <c r="M1" s="37"/>
      <c r="N1" s="37"/>
    </row>
    <row r="2" spans="1:14" ht="45.75" thickBot="1" x14ac:dyDescent="0.3">
      <c r="A2" s="7"/>
      <c r="B2" s="23" t="s">
        <v>202</v>
      </c>
      <c r="C2" s="31" t="s">
        <v>203</v>
      </c>
      <c r="D2" s="31" t="s">
        <v>204</v>
      </c>
      <c r="E2" s="4" t="s">
        <v>208</v>
      </c>
      <c r="F2" s="34" t="s">
        <v>209</v>
      </c>
      <c r="G2" s="48" t="s">
        <v>220</v>
      </c>
      <c r="M2" s="38"/>
      <c r="N2" s="38"/>
    </row>
    <row r="3" spans="1:14" x14ac:dyDescent="0.25">
      <c r="A3" s="8" t="s">
        <v>2</v>
      </c>
      <c r="B3" s="22">
        <v>24.1</v>
      </c>
      <c r="C3" s="22">
        <v>1.9079999999999999</v>
      </c>
      <c r="D3" s="22">
        <v>1.5369999999999999</v>
      </c>
      <c r="E3" s="42">
        <f>(2.7/D3)-1</f>
        <v>0.75666883539362417</v>
      </c>
      <c r="F3" s="42">
        <f>((2.7+E3)/(1+E3))</f>
        <v>1.9677407407407406</v>
      </c>
      <c r="G3">
        <f>E3/(1+E3)</f>
        <v>0.43074074074074081</v>
      </c>
    </row>
    <row r="4" spans="1:14" ht="15.75" thickBot="1" x14ac:dyDescent="0.3">
      <c r="A4" s="9"/>
      <c r="B4" s="23">
        <v>17.2</v>
      </c>
      <c r="C4" s="23">
        <v>2.0270000000000001</v>
      </c>
      <c r="D4" s="23">
        <v>1.73</v>
      </c>
      <c r="E4" s="42">
        <f t="shared" ref="E4:E66" si="0">(2.7/D4)-1</f>
        <v>0.56069364161849733</v>
      </c>
      <c r="F4" s="42">
        <f t="shared" ref="F4:F66" si="1">((2.7+E4)/(1+E4))</f>
        <v>2.0892592592592591</v>
      </c>
      <c r="G4">
        <f t="shared" ref="G4:G67" si="2">E4/(1+E4)</f>
        <v>0.35925925925925933</v>
      </c>
    </row>
    <row r="5" spans="1:14" x14ac:dyDescent="0.25">
      <c r="A5" s="8" t="s">
        <v>3</v>
      </c>
      <c r="B5" s="22">
        <v>17.399999999999999</v>
      </c>
      <c r="C5" s="22">
        <v>1.853</v>
      </c>
      <c r="D5" s="22">
        <v>1.5780000000000001</v>
      </c>
      <c r="E5" s="42">
        <f t="shared" si="0"/>
        <v>0.71102661596958172</v>
      </c>
      <c r="F5" s="42">
        <f t="shared" si="1"/>
        <v>1.9935555555555555</v>
      </c>
      <c r="G5">
        <f t="shared" si="2"/>
        <v>0.41555555555555557</v>
      </c>
    </row>
    <row r="6" spans="1:14" x14ac:dyDescent="0.25">
      <c r="A6" s="10"/>
      <c r="B6" s="24">
        <v>19</v>
      </c>
      <c r="C6" s="24">
        <v>1.87</v>
      </c>
      <c r="D6" s="24">
        <v>1.571</v>
      </c>
      <c r="E6" s="42">
        <f t="shared" si="0"/>
        <v>0.71865054105665194</v>
      </c>
      <c r="F6" s="42">
        <f t="shared" si="1"/>
        <v>1.9891481481481483</v>
      </c>
      <c r="G6">
        <f t="shared" si="2"/>
        <v>0.41814814814814821</v>
      </c>
    </row>
    <row r="7" spans="1:14" x14ac:dyDescent="0.25">
      <c r="A7" s="10"/>
      <c r="B7" s="24">
        <v>16.600000000000001</v>
      </c>
      <c r="C7" s="24">
        <v>1.9330000000000001</v>
      </c>
      <c r="D7" s="24">
        <v>1.6579999999999999</v>
      </c>
      <c r="E7" s="42">
        <f t="shared" si="0"/>
        <v>0.62846803377563343</v>
      </c>
      <c r="F7" s="42">
        <f t="shared" si="1"/>
        <v>2.0439259259259259</v>
      </c>
      <c r="G7">
        <f t="shared" si="2"/>
        <v>0.38592592592592595</v>
      </c>
    </row>
    <row r="8" spans="1:14" ht="15.75" thickBot="1" x14ac:dyDescent="0.3">
      <c r="A8" s="9"/>
      <c r="B8" s="23">
        <v>18.2</v>
      </c>
      <c r="C8" s="23">
        <v>2</v>
      </c>
      <c r="D8" s="23">
        <v>1.6919999999999999</v>
      </c>
      <c r="E8" s="42">
        <f t="shared" si="0"/>
        <v>0.59574468085106402</v>
      </c>
      <c r="F8" s="42">
        <f t="shared" si="1"/>
        <v>2.0653333333333332</v>
      </c>
      <c r="G8">
        <f t="shared" si="2"/>
        <v>0.37333333333333341</v>
      </c>
    </row>
    <row r="9" spans="1:14" ht="15.75" thickBot="1" x14ac:dyDescent="0.3">
      <c r="A9" s="11" t="s">
        <v>4</v>
      </c>
      <c r="B9" s="25">
        <v>16.7</v>
      </c>
      <c r="C9" s="25">
        <v>1.9419999999999999</v>
      </c>
      <c r="D9" s="25">
        <v>1.6639999999999999</v>
      </c>
      <c r="E9" s="42">
        <f t="shared" si="0"/>
        <v>0.62259615384615397</v>
      </c>
      <c r="F9" s="42">
        <f t="shared" si="1"/>
        <v>2.047703703703704</v>
      </c>
      <c r="G9">
        <f t="shared" si="2"/>
        <v>0.38370370370370377</v>
      </c>
    </row>
    <row r="10" spans="1:14" ht="15.75" thickBot="1" x14ac:dyDescent="0.3">
      <c r="A10" s="11" t="s">
        <v>5</v>
      </c>
      <c r="B10" s="25">
        <v>15.4</v>
      </c>
      <c r="C10" s="25">
        <v>1.917</v>
      </c>
      <c r="D10" s="25">
        <v>1.661</v>
      </c>
      <c r="E10" s="42">
        <f t="shared" si="0"/>
        <v>0.6255267910897051</v>
      </c>
      <c r="F10" s="42">
        <f t="shared" si="1"/>
        <v>2.0458148148148148</v>
      </c>
      <c r="G10">
        <f t="shared" si="2"/>
        <v>0.38481481481481483</v>
      </c>
    </row>
    <row r="11" spans="1:14" x14ac:dyDescent="0.25">
      <c r="A11" s="8" t="s">
        <v>6</v>
      </c>
      <c r="B11" s="22">
        <v>16.899999999999999</v>
      </c>
      <c r="C11" s="22">
        <v>1.84</v>
      </c>
      <c r="D11" s="22">
        <v>1.5740000000000001</v>
      </c>
      <c r="E11" s="42">
        <f t="shared" si="0"/>
        <v>0.71537484116899619</v>
      </c>
      <c r="F11" s="42">
        <f t="shared" si="1"/>
        <v>1.9910370370370372</v>
      </c>
      <c r="G11">
        <f t="shared" si="2"/>
        <v>0.41703703703703704</v>
      </c>
    </row>
    <row r="12" spans="1:14" ht="15.75" thickBot="1" x14ac:dyDescent="0.3">
      <c r="A12" s="9"/>
      <c r="B12" s="23">
        <v>16.2</v>
      </c>
      <c r="C12" s="23">
        <v>1.952</v>
      </c>
      <c r="D12" s="23">
        <v>1.68</v>
      </c>
      <c r="E12" s="42">
        <f t="shared" si="0"/>
        <v>0.60714285714285721</v>
      </c>
      <c r="F12" s="42">
        <f t="shared" si="1"/>
        <v>2.0577777777777779</v>
      </c>
      <c r="G12">
        <f t="shared" si="2"/>
        <v>0.37777777777777782</v>
      </c>
    </row>
    <row r="13" spans="1:14" ht="15.75" thickBot="1" x14ac:dyDescent="0.3">
      <c r="A13" s="11" t="s">
        <v>10</v>
      </c>
      <c r="B13" s="25">
        <v>19.3</v>
      </c>
      <c r="C13" s="25">
        <v>1.861</v>
      </c>
      <c r="D13" s="25">
        <v>1.56</v>
      </c>
      <c r="E13" s="42">
        <f t="shared" si="0"/>
        <v>0.73076923076923084</v>
      </c>
      <c r="F13" s="42">
        <f t="shared" si="1"/>
        <v>1.9822222222222223</v>
      </c>
      <c r="G13">
        <f t="shared" si="2"/>
        <v>0.42222222222222222</v>
      </c>
    </row>
    <row r="14" spans="1:14" x14ac:dyDescent="0.25">
      <c r="A14" s="8" t="s">
        <v>11</v>
      </c>
      <c r="B14" s="22">
        <v>16.899999999999999</v>
      </c>
      <c r="C14" s="22">
        <v>1.88</v>
      </c>
      <c r="D14" s="22">
        <v>1.6080000000000001</v>
      </c>
      <c r="E14" s="42">
        <f t="shared" si="0"/>
        <v>0.67910447761194037</v>
      </c>
      <c r="F14" s="42">
        <f t="shared" si="1"/>
        <v>2.0124444444444447</v>
      </c>
      <c r="G14">
        <f t="shared" si="2"/>
        <v>0.4044444444444445</v>
      </c>
    </row>
    <row r="15" spans="1:14" x14ac:dyDescent="0.25">
      <c r="A15" s="10"/>
      <c r="B15" s="24">
        <v>24.1</v>
      </c>
      <c r="C15" s="24">
        <v>1.917</v>
      </c>
      <c r="D15" s="24">
        <v>1.5449999999999999</v>
      </c>
      <c r="E15" s="42">
        <f t="shared" si="0"/>
        <v>0.74757281553398069</v>
      </c>
      <c r="F15" s="42">
        <f t="shared" si="1"/>
        <v>1.9727777777777777</v>
      </c>
      <c r="G15">
        <f t="shared" si="2"/>
        <v>0.42777777777777781</v>
      </c>
    </row>
    <row r="16" spans="1:14" x14ac:dyDescent="0.25">
      <c r="A16" s="10"/>
      <c r="B16" s="24">
        <v>20.3</v>
      </c>
      <c r="C16" s="24">
        <v>1.9490000000000001</v>
      </c>
      <c r="D16" s="24">
        <v>1.62</v>
      </c>
      <c r="E16" s="42">
        <f t="shared" si="0"/>
        <v>0.66666666666666674</v>
      </c>
      <c r="F16" s="42">
        <f t="shared" si="1"/>
        <v>2.02</v>
      </c>
      <c r="G16">
        <f t="shared" si="2"/>
        <v>0.4</v>
      </c>
    </row>
    <row r="17" spans="1:7" ht="15.75" thickBot="1" x14ac:dyDescent="0.3">
      <c r="A17" s="9"/>
      <c r="B17" s="23">
        <v>21.2</v>
      </c>
      <c r="C17" s="23">
        <v>1.96</v>
      </c>
      <c r="D17" s="23">
        <v>1.617</v>
      </c>
      <c r="E17" s="42">
        <f t="shared" si="0"/>
        <v>0.66975881261595549</v>
      </c>
      <c r="F17" s="42">
        <f t="shared" si="1"/>
        <v>2.0181111111111112</v>
      </c>
      <c r="G17">
        <f t="shared" si="2"/>
        <v>0.40111111111111114</v>
      </c>
    </row>
    <row r="18" spans="1:7" x14ac:dyDescent="0.25">
      <c r="A18" s="8" t="s">
        <v>13</v>
      </c>
      <c r="B18" s="22">
        <v>22</v>
      </c>
      <c r="C18" s="22">
        <v>1.849</v>
      </c>
      <c r="D18" s="22">
        <v>1.516</v>
      </c>
      <c r="E18" s="42">
        <f t="shared" si="0"/>
        <v>0.78100263852242757</v>
      </c>
      <c r="F18" s="42">
        <f t="shared" si="1"/>
        <v>1.9545185185185188</v>
      </c>
      <c r="G18">
        <f t="shared" si="2"/>
        <v>0.43851851851851859</v>
      </c>
    </row>
    <row r="19" spans="1:7" ht="15.75" thickBot="1" x14ac:dyDescent="0.3">
      <c r="A19" s="9"/>
      <c r="B19" s="23">
        <v>16.100000000000001</v>
      </c>
      <c r="C19" s="23">
        <v>1.9550000000000001</v>
      </c>
      <c r="D19" s="23">
        <v>1.6839999999999999</v>
      </c>
      <c r="E19" s="42">
        <f t="shared" si="0"/>
        <v>0.60332541567695985</v>
      </c>
      <c r="F19" s="42">
        <f t="shared" si="1"/>
        <v>2.0602962962962961</v>
      </c>
      <c r="G19">
        <f t="shared" si="2"/>
        <v>0.37629629629629641</v>
      </c>
    </row>
    <row r="20" spans="1:7" x14ac:dyDescent="0.25">
      <c r="A20" s="8" t="s">
        <v>14</v>
      </c>
      <c r="B20" s="22">
        <v>21.2</v>
      </c>
      <c r="C20" s="22">
        <v>1.9039999999999999</v>
      </c>
      <c r="D20" s="22">
        <v>1.571</v>
      </c>
      <c r="E20" s="42">
        <f t="shared" si="0"/>
        <v>0.71865054105665194</v>
      </c>
      <c r="F20" s="42">
        <f t="shared" si="1"/>
        <v>1.9891481481481483</v>
      </c>
      <c r="G20">
        <f t="shared" si="2"/>
        <v>0.41814814814814821</v>
      </c>
    </row>
    <row r="21" spans="1:7" ht="15.75" thickBot="1" x14ac:dyDescent="0.3">
      <c r="A21" s="9"/>
      <c r="B21" s="23">
        <v>16.899999999999999</v>
      </c>
      <c r="C21" s="23">
        <v>2</v>
      </c>
      <c r="D21" s="23">
        <v>1.7110000000000001</v>
      </c>
      <c r="E21" s="42">
        <f t="shared" si="0"/>
        <v>0.5780245470485097</v>
      </c>
      <c r="F21" s="42">
        <f t="shared" si="1"/>
        <v>2.0772962962962964</v>
      </c>
      <c r="G21">
        <f t="shared" si="2"/>
        <v>0.36629629629629634</v>
      </c>
    </row>
    <row r="22" spans="1:7" ht="15.75" thickBot="1" x14ac:dyDescent="0.3">
      <c r="A22" s="11" t="s">
        <v>15</v>
      </c>
      <c r="B22" s="25">
        <v>24.4</v>
      </c>
      <c r="C22" s="25">
        <v>1.913</v>
      </c>
      <c r="D22" s="25">
        <v>1.538</v>
      </c>
      <c r="E22" s="42">
        <f t="shared" si="0"/>
        <v>0.75552665799739938</v>
      </c>
      <c r="F22" s="42">
        <f t="shared" si="1"/>
        <v>1.9683703703703703</v>
      </c>
      <c r="G22">
        <f t="shared" si="2"/>
        <v>0.4303703703703704</v>
      </c>
    </row>
    <row r="23" spans="1:7" ht="15.75" thickBot="1" x14ac:dyDescent="0.3">
      <c r="A23" s="11" t="s">
        <v>16</v>
      </c>
      <c r="B23" s="25">
        <v>17.100000000000001</v>
      </c>
      <c r="C23" s="25">
        <v>1.9330000000000001</v>
      </c>
      <c r="D23" s="25">
        <v>1.651</v>
      </c>
      <c r="E23" s="42">
        <f t="shared" si="0"/>
        <v>0.63537250151423397</v>
      </c>
      <c r="F23" s="42">
        <f t="shared" si="1"/>
        <v>2.0395185185185185</v>
      </c>
      <c r="G23">
        <f t="shared" si="2"/>
        <v>0.3885185185185186</v>
      </c>
    </row>
    <row r="24" spans="1:7" ht="15.75" thickBot="1" x14ac:dyDescent="0.3">
      <c r="A24" s="8" t="s">
        <v>19</v>
      </c>
      <c r="B24" s="22">
        <v>14.7</v>
      </c>
      <c r="C24" s="22">
        <v>2.0310000000000001</v>
      </c>
      <c r="D24" s="22">
        <v>1.7709999999999999</v>
      </c>
      <c r="E24" s="42">
        <f t="shared" si="0"/>
        <v>0.52456239412761163</v>
      </c>
      <c r="F24" s="42">
        <f t="shared" si="1"/>
        <v>2.1150740740740743</v>
      </c>
      <c r="G24">
        <f t="shared" si="2"/>
        <v>0.34407407407407414</v>
      </c>
    </row>
    <row r="25" spans="1:7" ht="15.75" thickBot="1" x14ac:dyDescent="0.3">
      <c r="A25" s="8" t="s">
        <v>20</v>
      </c>
      <c r="B25" s="22">
        <v>14</v>
      </c>
      <c r="C25" s="22">
        <v>2.0099999999999998</v>
      </c>
      <c r="D25" s="22">
        <v>1.7629999999999999</v>
      </c>
      <c r="E25" s="42">
        <f t="shared" si="0"/>
        <v>0.53148043108338072</v>
      </c>
      <c r="F25" s="42">
        <f t="shared" si="1"/>
        <v>2.1100370370370372</v>
      </c>
      <c r="G25">
        <f t="shared" si="2"/>
        <v>0.34703703703703709</v>
      </c>
    </row>
    <row r="26" spans="1:7" ht="15.75" thickBot="1" x14ac:dyDescent="0.3">
      <c r="A26" s="8" t="s">
        <v>21</v>
      </c>
      <c r="B26" s="22">
        <v>21.7</v>
      </c>
      <c r="C26" s="22">
        <v>1.927</v>
      </c>
      <c r="D26" s="22">
        <v>1.583</v>
      </c>
      <c r="E26" s="42">
        <f t="shared" si="0"/>
        <v>0.70562223626026555</v>
      </c>
      <c r="F26" s="42">
        <f t="shared" si="1"/>
        <v>1.9967037037037036</v>
      </c>
      <c r="G26">
        <f t="shared" si="2"/>
        <v>0.4137037037037038</v>
      </c>
    </row>
    <row r="27" spans="1:7" x14ac:dyDescent="0.25">
      <c r="A27" s="8" t="s">
        <v>22</v>
      </c>
      <c r="B27" s="22">
        <v>16.100000000000001</v>
      </c>
      <c r="C27" s="22">
        <v>1.944</v>
      </c>
      <c r="D27" s="22">
        <v>1.6739999999999999</v>
      </c>
      <c r="E27" s="42">
        <f t="shared" si="0"/>
        <v>0.61290322580645173</v>
      </c>
      <c r="F27" s="42">
        <f t="shared" si="1"/>
        <v>2.0540000000000003</v>
      </c>
      <c r="G27">
        <f t="shared" si="2"/>
        <v>0.38000000000000006</v>
      </c>
    </row>
    <row r="28" spans="1:7" ht="15.75" thickBot="1" x14ac:dyDescent="0.3">
      <c r="A28" s="9"/>
      <c r="B28" s="23">
        <v>18.2</v>
      </c>
      <c r="C28" s="23">
        <v>1.9570000000000001</v>
      </c>
      <c r="D28" s="23">
        <v>1.6559999999999999</v>
      </c>
      <c r="E28" s="42">
        <f t="shared" si="0"/>
        <v>0.63043478260869579</v>
      </c>
      <c r="F28" s="42">
        <f t="shared" si="1"/>
        <v>2.0426666666666669</v>
      </c>
      <c r="G28">
        <f t="shared" si="2"/>
        <v>0.38666666666666671</v>
      </c>
    </row>
    <row r="29" spans="1:7" ht="15.75" thickBot="1" x14ac:dyDescent="0.3">
      <c r="A29" s="11" t="s">
        <v>23</v>
      </c>
      <c r="B29" s="25">
        <v>18</v>
      </c>
      <c r="C29" s="25">
        <v>2.0139999999999998</v>
      </c>
      <c r="D29" s="25">
        <v>1.7070000000000001</v>
      </c>
      <c r="E29" s="42">
        <f t="shared" si="0"/>
        <v>0.58172231985940259</v>
      </c>
      <c r="F29" s="42">
        <f t="shared" si="1"/>
        <v>2.0747777777777778</v>
      </c>
      <c r="G29">
        <f t="shared" si="2"/>
        <v>0.36777777777777781</v>
      </c>
    </row>
    <row r="30" spans="1:7" ht="15.75" thickBot="1" x14ac:dyDescent="0.3">
      <c r="A30" s="8" t="s">
        <v>24</v>
      </c>
      <c r="B30" s="22">
        <v>15.7</v>
      </c>
      <c r="C30" s="22">
        <v>1.9650000000000001</v>
      </c>
      <c r="D30" s="22">
        <v>1.698</v>
      </c>
      <c r="E30" s="42">
        <f t="shared" si="0"/>
        <v>0.59010600706713801</v>
      </c>
      <c r="F30" s="42">
        <f t="shared" si="1"/>
        <v>2.0691111111111109</v>
      </c>
      <c r="G30">
        <f t="shared" si="2"/>
        <v>0.37111111111111117</v>
      </c>
    </row>
    <row r="31" spans="1:7" ht="15.75" thickBot="1" x14ac:dyDescent="0.3">
      <c r="A31" s="14" t="s">
        <v>26</v>
      </c>
      <c r="B31" s="26">
        <v>20.399999999999999</v>
      </c>
      <c r="C31" s="26">
        <v>1.907</v>
      </c>
      <c r="D31" s="26">
        <v>1.5840000000000001</v>
      </c>
      <c r="E31" s="42">
        <f t="shared" si="0"/>
        <v>0.70454545454545459</v>
      </c>
      <c r="F31" s="42">
        <f t="shared" si="1"/>
        <v>1.9973333333333334</v>
      </c>
      <c r="G31">
        <f t="shared" si="2"/>
        <v>0.41333333333333333</v>
      </c>
    </row>
    <row r="32" spans="1:7" ht="15.75" thickBot="1" x14ac:dyDescent="0.3">
      <c r="A32" s="15" t="s">
        <v>28</v>
      </c>
      <c r="B32" s="27">
        <v>16.100000000000001</v>
      </c>
      <c r="C32" s="27">
        <v>1.9219999999999999</v>
      </c>
      <c r="D32" s="27">
        <v>1.655</v>
      </c>
      <c r="E32" s="42">
        <f t="shared" si="0"/>
        <v>0.63141993957703946</v>
      </c>
      <c r="F32" s="42">
        <f t="shared" si="1"/>
        <v>2.0420370370370371</v>
      </c>
      <c r="G32">
        <f t="shared" si="2"/>
        <v>0.38703703703703712</v>
      </c>
    </row>
    <row r="33" spans="1:7" x14ac:dyDescent="0.25">
      <c r="A33" s="15" t="s">
        <v>29</v>
      </c>
      <c r="B33" s="27">
        <v>16.5</v>
      </c>
      <c r="C33" s="27">
        <v>1.8759999999999999</v>
      </c>
      <c r="D33" s="27">
        <v>1.61</v>
      </c>
      <c r="E33" s="42">
        <f t="shared" si="0"/>
        <v>0.67701863354037273</v>
      </c>
      <c r="F33" s="42">
        <f t="shared" si="1"/>
        <v>2.0137037037037038</v>
      </c>
      <c r="G33">
        <f t="shared" si="2"/>
        <v>0.40370370370370373</v>
      </c>
    </row>
    <row r="34" spans="1:7" ht="15.75" thickBot="1" x14ac:dyDescent="0.3">
      <c r="A34" s="16"/>
      <c r="B34" s="28">
        <v>18.100000000000001</v>
      </c>
      <c r="C34" s="28">
        <v>1.9730000000000001</v>
      </c>
      <c r="D34" s="28">
        <v>1.671</v>
      </c>
      <c r="E34" s="42">
        <f t="shared" si="0"/>
        <v>0.61579892280071813</v>
      </c>
      <c r="F34" s="42">
        <f t="shared" si="1"/>
        <v>2.0521111111111114</v>
      </c>
      <c r="G34">
        <f t="shared" si="2"/>
        <v>0.38111111111111112</v>
      </c>
    </row>
    <row r="35" spans="1:7" ht="15.75" thickBot="1" x14ac:dyDescent="0.3">
      <c r="A35" s="14" t="s">
        <v>30</v>
      </c>
      <c r="B35" s="26">
        <v>16.2</v>
      </c>
      <c r="C35" s="26">
        <v>1.917</v>
      </c>
      <c r="D35" s="26">
        <v>1.65</v>
      </c>
      <c r="E35" s="42">
        <f t="shared" si="0"/>
        <v>0.63636363636363646</v>
      </c>
      <c r="F35" s="42">
        <f t="shared" si="1"/>
        <v>2.0388888888888892</v>
      </c>
      <c r="G35">
        <f t="shared" si="2"/>
        <v>0.38888888888888895</v>
      </c>
    </row>
    <row r="36" spans="1:7" x14ac:dyDescent="0.25">
      <c r="A36" s="15" t="s">
        <v>31</v>
      </c>
      <c r="B36" s="27">
        <v>21.5</v>
      </c>
      <c r="C36" s="27">
        <v>1.8779999999999999</v>
      </c>
      <c r="D36" s="27">
        <v>1.546</v>
      </c>
      <c r="E36" s="42">
        <f t="shared" si="0"/>
        <v>0.74644243208279448</v>
      </c>
      <c r="F36" s="42">
        <f t="shared" si="1"/>
        <v>1.9734074074074075</v>
      </c>
      <c r="G36">
        <f t="shared" si="2"/>
        <v>0.42740740740740746</v>
      </c>
    </row>
    <row r="37" spans="1:7" ht="15.75" thickBot="1" x14ac:dyDescent="0.3">
      <c r="A37" s="16"/>
      <c r="B37" s="28">
        <v>18.5</v>
      </c>
      <c r="C37" s="28">
        <v>1.929</v>
      </c>
      <c r="D37" s="28">
        <v>1.6279999999999999</v>
      </c>
      <c r="E37" s="42">
        <f t="shared" si="0"/>
        <v>0.65847665847665859</v>
      </c>
      <c r="F37" s="42">
        <f t="shared" si="1"/>
        <v>2.0250370370370367</v>
      </c>
      <c r="G37">
        <f t="shared" si="2"/>
        <v>0.39703703703703708</v>
      </c>
    </row>
    <row r="38" spans="1:7" x14ac:dyDescent="0.25">
      <c r="A38" s="15" t="s">
        <v>34</v>
      </c>
      <c r="B38" s="27">
        <v>17.899999999999999</v>
      </c>
      <c r="C38" s="27">
        <v>1.919</v>
      </c>
      <c r="D38" s="27">
        <v>1.6279999999999999</v>
      </c>
      <c r="E38" s="42">
        <f t="shared" si="0"/>
        <v>0.65847665847665859</v>
      </c>
      <c r="F38" s="42">
        <f t="shared" si="1"/>
        <v>2.0250370370370367</v>
      </c>
      <c r="G38">
        <f t="shared" si="2"/>
        <v>0.39703703703703708</v>
      </c>
    </row>
    <row r="39" spans="1:7" ht="15.75" thickBot="1" x14ac:dyDescent="0.3">
      <c r="A39" s="17"/>
      <c r="B39" s="29">
        <v>18.3</v>
      </c>
      <c r="C39" s="29">
        <v>1.903</v>
      </c>
      <c r="D39" s="29">
        <v>1.609</v>
      </c>
      <c r="E39" s="42">
        <f t="shared" si="0"/>
        <v>0.6780609073958983</v>
      </c>
      <c r="F39" s="42">
        <f t="shared" si="1"/>
        <v>2.013074074074074</v>
      </c>
      <c r="G39">
        <f t="shared" si="2"/>
        <v>0.40407407407407414</v>
      </c>
    </row>
    <row r="40" spans="1:7" ht="15.75" thickBot="1" x14ac:dyDescent="0.3">
      <c r="A40" s="14" t="s">
        <v>37</v>
      </c>
      <c r="B40" s="26">
        <v>21</v>
      </c>
      <c r="C40" s="26">
        <v>1.907</v>
      </c>
      <c r="D40" s="26">
        <v>1.5760000000000001</v>
      </c>
      <c r="E40" s="42">
        <f t="shared" si="0"/>
        <v>0.71319796954314718</v>
      </c>
      <c r="F40" s="42">
        <f t="shared" si="1"/>
        <v>1.9922962962962965</v>
      </c>
      <c r="G40">
        <f t="shared" si="2"/>
        <v>0.41629629629629628</v>
      </c>
    </row>
    <row r="41" spans="1:7" x14ac:dyDescent="0.25">
      <c r="A41" s="15" t="s">
        <v>38</v>
      </c>
      <c r="B41" s="27">
        <v>22.4</v>
      </c>
      <c r="C41" s="27">
        <v>1.843</v>
      </c>
      <c r="D41" s="27">
        <v>1.506</v>
      </c>
      <c r="E41" s="42">
        <f t="shared" si="0"/>
        <v>0.79282868525896433</v>
      </c>
      <c r="F41" s="42">
        <f t="shared" si="1"/>
        <v>1.9482222222222223</v>
      </c>
      <c r="G41">
        <f t="shared" si="2"/>
        <v>0.44222222222222229</v>
      </c>
    </row>
    <row r="42" spans="1:7" x14ac:dyDescent="0.25">
      <c r="A42" s="17"/>
      <c r="B42" s="29">
        <v>21.3</v>
      </c>
      <c r="C42" s="29">
        <v>1.859</v>
      </c>
      <c r="D42" s="29">
        <v>1.5329999999999999</v>
      </c>
      <c r="E42" s="42">
        <f t="shared" si="0"/>
        <v>0.76125244618395316</v>
      </c>
      <c r="F42" s="42">
        <f t="shared" si="1"/>
        <v>1.9652222222222222</v>
      </c>
      <c r="G42">
        <f t="shared" si="2"/>
        <v>0.43222222222222229</v>
      </c>
    </row>
    <row r="43" spans="1:7" ht="15.75" thickBot="1" x14ac:dyDescent="0.3">
      <c r="A43" s="16"/>
      <c r="B43" s="28">
        <v>17.7</v>
      </c>
      <c r="C43" s="28">
        <v>1.877</v>
      </c>
      <c r="D43" s="28">
        <v>1.595</v>
      </c>
      <c r="E43" s="42">
        <f t="shared" si="0"/>
        <v>0.69278996865203779</v>
      </c>
      <c r="F43" s="42">
        <f t="shared" si="1"/>
        <v>2.0042592592592592</v>
      </c>
      <c r="G43">
        <f t="shared" si="2"/>
        <v>0.40925925925925932</v>
      </c>
    </row>
    <row r="44" spans="1:7" ht="15.75" thickBot="1" x14ac:dyDescent="0.3">
      <c r="A44" s="14" t="s">
        <v>40</v>
      </c>
      <c r="B44" s="26">
        <v>17.7</v>
      </c>
      <c r="C44" s="26">
        <v>1.869</v>
      </c>
      <c r="D44" s="26">
        <v>1.5880000000000001</v>
      </c>
      <c r="E44" s="42">
        <f t="shared" si="0"/>
        <v>0.70025188916876568</v>
      </c>
      <c r="F44" s="42">
        <f t="shared" si="1"/>
        <v>1.9998518518518522</v>
      </c>
      <c r="G44">
        <f t="shared" si="2"/>
        <v>0.41185185185185186</v>
      </c>
    </row>
    <row r="45" spans="1:7" x14ac:dyDescent="0.25">
      <c r="A45" s="15" t="s">
        <v>41</v>
      </c>
      <c r="B45" s="27">
        <v>19.399999999999999</v>
      </c>
      <c r="C45" s="27">
        <v>1.835</v>
      </c>
      <c r="D45" s="27">
        <v>1.5369999999999999</v>
      </c>
      <c r="E45" s="42">
        <f t="shared" si="0"/>
        <v>0.75666883539362417</v>
      </c>
      <c r="F45" s="42">
        <f t="shared" si="1"/>
        <v>1.9677407407407406</v>
      </c>
      <c r="G45">
        <f t="shared" si="2"/>
        <v>0.43074074074074081</v>
      </c>
    </row>
    <row r="46" spans="1:7" ht="15.75" thickBot="1" x14ac:dyDescent="0.3">
      <c r="A46" s="16"/>
      <c r="B46" s="28">
        <v>17.3</v>
      </c>
      <c r="C46" s="28">
        <v>1.8620000000000001</v>
      </c>
      <c r="D46" s="28">
        <v>1.587</v>
      </c>
      <c r="E46" s="42">
        <f t="shared" si="0"/>
        <v>0.70132325141776963</v>
      </c>
      <c r="F46" s="42">
        <f t="shared" si="1"/>
        <v>1.9992222222222222</v>
      </c>
      <c r="G46">
        <f t="shared" si="2"/>
        <v>0.41222222222222232</v>
      </c>
    </row>
    <row r="47" spans="1:7" ht="15.75" thickBot="1" x14ac:dyDescent="0.3">
      <c r="A47" s="14" t="s">
        <v>42</v>
      </c>
      <c r="B47" s="26">
        <v>16.3</v>
      </c>
      <c r="C47" s="26">
        <v>1.9059999999999999</v>
      </c>
      <c r="D47" s="26">
        <v>1.639</v>
      </c>
      <c r="E47" s="42">
        <f t="shared" si="0"/>
        <v>0.6473459426479562</v>
      </c>
      <c r="F47" s="42">
        <f t="shared" si="1"/>
        <v>2.0319629629629632</v>
      </c>
      <c r="G47">
        <f t="shared" si="2"/>
        <v>0.39296296296296301</v>
      </c>
    </row>
    <row r="48" spans="1:7" x14ac:dyDescent="0.25">
      <c r="A48" s="15" t="s">
        <v>44</v>
      </c>
      <c r="B48" s="27">
        <v>17.7</v>
      </c>
      <c r="C48" s="27">
        <v>1.877</v>
      </c>
      <c r="D48" s="27">
        <v>1.595</v>
      </c>
      <c r="E48" s="42">
        <f t="shared" si="0"/>
        <v>0.69278996865203779</v>
      </c>
      <c r="F48" s="42">
        <f t="shared" si="1"/>
        <v>2.0042592592592592</v>
      </c>
      <c r="G48">
        <f t="shared" si="2"/>
        <v>0.40925925925925932</v>
      </c>
    </row>
    <row r="49" spans="1:7" ht="15.75" thickBot="1" x14ac:dyDescent="0.3">
      <c r="A49" s="16"/>
      <c r="B49" s="28">
        <v>16.100000000000001</v>
      </c>
      <c r="C49" s="28">
        <v>1.9379999999999999</v>
      </c>
      <c r="D49" s="28">
        <v>1.669</v>
      </c>
      <c r="E49" s="42">
        <f t="shared" si="0"/>
        <v>0.61773517076093487</v>
      </c>
      <c r="F49" s="42">
        <f t="shared" si="1"/>
        <v>2.0508518518518519</v>
      </c>
      <c r="G49">
        <f t="shared" si="2"/>
        <v>0.38185185185185194</v>
      </c>
    </row>
    <row r="50" spans="1:7" x14ac:dyDescent="0.25">
      <c r="A50" s="15" t="s">
        <v>45</v>
      </c>
      <c r="B50" s="27">
        <v>20.2</v>
      </c>
      <c r="C50" s="27">
        <v>1.829</v>
      </c>
      <c r="D50" s="27">
        <v>1.522</v>
      </c>
      <c r="E50" s="42">
        <f t="shared" si="0"/>
        <v>0.7739816031537452</v>
      </c>
      <c r="F50" s="42">
        <f t="shared" si="1"/>
        <v>1.9582962962962964</v>
      </c>
      <c r="G50">
        <f t="shared" si="2"/>
        <v>0.43629629629629635</v>
      </c>
    </row>
    <row r="51" spans="1:7" ht="15.75" thickBot="1" x14ac:dyDescent="0.3">
      <c r="A51" s="16"/>
      <c r="B51" s="28">
        <v>16.8</v>
      </c>
      <c r="C51" s="28">
        <v>1.95</v>
      </c>
      <c r="D51" s="28">
        <v>1.67</v>
      </c>
      <c r="E51" s="42">
        <f t="shared" si="0"/>
        <v>0.61676646706586835</v>
      </c>
      <c r="F51" s="42">
        <f t="shared" si="1"/>
        <v>2.0514814814814817</v>
      </c>
      <c r="G51">
        <f t="shared" si="2"/>
        <v>0.38148148148148153</v>
      </c>
    </row>
    <row r="52" spans="1:7" ht="15.75" thickBot="1" x14ac:dyDescent="0.3">
      <c r="A52" s="14" t="s">
        <v>47</v>
      </c>
      <c r="B52" s="26">
        <v>18.600000000000001</v>
      </c>
      <c r="C52" s="26">
        <v>1.85</v>
      </c>
      <c r="D52" s="26">
        <v>1.56</v>
      </c>
      <c r="E52" s="42">
        <f t="shared" si="0"/>
        <v>0.73076923076923084</v>
      </c>
      <c r="F52" s="42">
        <f t="shared" si="1"/>
        <v>1.9822222222222223</v>
      </c>
      <c r="G52">
        <f t="shared" si="2"/>
        <v>0.42222222222222222</v>
      </c>
    </row>
    <row r="53" spans="1:7" ht="15.75" thickBot="1" x14ac:dyDescent="0.3">
      <c r="A53" s="14" t="s">
        <v>48</v>
      </c>
      <c r="B53" s="26">
        <v>16.8</v>
      </c>
      <c r="C53" s="26">
        <v>1.881</v>
      </c>
      <c r="D53" s="26">
        <v>1.61</v>
      </c>
      <c r="E53" s="42">
        <f t="shared" si="0"/>
        <v>0.67701863354037273</v>
      </c>
      <c r="F53" s="42">
        <f t="shared" si="1"/>
        <v>2.0137037037037038</v>
      </c>
      <c r="G53">
        <f t="shared" si="2"/>
        <v>0.40370370370370373</v>
      </c>
    </row>
    <row r="54" spans="1:7" ht="15.75" thickBot="1" x14ac:dyDescent="0.3">
      <c r="A54" s="14" t="s">
        <v>49</v>
      </c>
      <c r="B54" s="26">
        <v>17.899999999999999</v>
      </c>
      <c r="C54" s="26">
        <v>1.9</v>
      </c>
      <c r="D54" s="26">
        <v>1.6120000000000001</v>
      </c>
      <c r="E54" s="42">
        <f t="shared" si="0"/>
        <v>0.67493796526054584</v>
      </c>
      <c r="F54" s="42">
        <f t="shared" si="1"/>
        <v>2.0149629629629633</v>
      </c>
      <c r="G54">
        <f t="shared" si="2"/>
        <v>0.40296296296296291</v>
      </c>
    </row>
    <row r="55" spans="1:7" ht="15.75" thickBot="1" x14ac:dyDescent="0.3">
      <c r="A55" s="14" t="s">
        <v>53</v>
      </c>
      <c r="B55" s="26">
        <v>21</v>
      </c>
      <c r="C55" s="26">
        <v>1.8720000000000001</v>
      </c>
      <c r="D55" s="26">
        <v>1.5469999999999999</v>
      </c>
      <c r="E55" s="42">
        <f t="shared" si="0"/>
        <v>0.74531351001939261</v>
      </c>
      <c r="F55" s="42">
        <f t="shared" si="1"/>
        <v>1.9740370370370368</v>
      </c>
      <c r="G55">
        <f t="shared" si="2"/>
        <v>0.4270370370370371</v>
      </c>
    </row>
    <row r="56" spans="1:7" x14ac:dyDescent="0.25">
      <c r="A56" s="15" t="s">
        <v>56</v>
      </c>
      <c r="B56" s="27">
        <v>18</v>
      </c>
      <c r="C56" s="27">
        <v>1.9019999999999999</v>
      </c>
      <c r="D56" s="27">
        <v>1.6120000000000001</v>
      </c>
      <c r="E56" s="42">
        <f t="shared" si="0"/>
        <v>0.67493796526054584</v>
      </c>
      <c r="F56" s="42">
        <f t="shared" si="1"/>
        <v>2.0149629629629633</v>
      </c>
      <c r="G56">
        <f t="shared" si="2"/>
        <v>0.40296296296296291</v>
      </c>
    </row>
    <row r="57" spans="1:7" ht="15.75" thickBot="1" x14ac:dyDescent="0.3">
      <c r="A57" s="16"/>
      <c r="B57" s="28">
        <v>16.7</v>
      </c>
      <c r="C57" s="28">
        <v>1.931</v>
      </c>
      <c r="D57" s="28">
        <v>1.655</v>
      </c>
      <c r="E57" s="42">
        <f t="shared" si="0"/>
        <v>0.63141993957703946</v>
      </c>
      <c r="F57" s="42">
        <f t="shared" si="1"/>
        <v>2.0420370370370371</v>
      </c>
      <c r="G57">
        <f t="shared" si="2"/>
        <v>0.38703703703703712</v>
      </c>
    </row>
    <row r="58" spans="1:7" x14ac:dyDescent="0.25">
      <c r="A58" s="15" t="s">
        <v>57</v>
      </c>
      <c r="B58" s="27">
        <v>19</v>
      </c>
      <c r="C58" s="27">
        <v>1.895</v>
      </c>
      <c r="D58" s="27">
        <v>1.5920000000000001</v>
      </c>
      <c r="E58" s="42">
        <f t="shared" si="0"/>
        <v>0.69597989949748751</v>
      </c>
      <c r="F58" s="42">
        <f t="shared" si="1"/>
        <v>2.0023703703703704</v>
      </c>
      <c r="G58">
        <f t="shared" si="2"/>
        <v>0.41037037037037039</v>
      </c>
    </row>
    <row r="59" spans="1:7" ht="15.75" thickBot="1" x14ac:dyDescent="0.3">
      <c r="A59" s="16"/>
      <c r="B59" s="28">
        <v>18.8</v>
      </c>
      <c r="C59" s="28">
        <v>1.9179999999999999</v>
      </c>
      <c r="D59" s="28">
        <v>1.6140000000000001</v>
      </c>
      <c r="E59" s="42">
        <f t="shared" si="0"/>
        <v>0.67286245353159857</v>
      </c>
      <c r="F59" s="42">
        <f t="shared" si="1"/>
        <v>2.0162222222222224</v>
      </c>
      <c r="G59">
        <f t="shared" si="2"/>
        <v>0.40222222222222226</v>
      </c>
    </row>
    <row r="60" spans="1:7" ht="15.75" thickBot="1" x14ac:dyDescent="0.3">
      <c r="A60" s="14" t="s">
        <v>59</v>
      </c>
      <c r="B60" s="26">
        <v>16.100000000000001</v>
      </c>
      <c r="C60" s="26">
        <v>1.9370000000000001</v>
      </c>
      <c r="D60" s="26">
        <v>1.6679999999999999</v>
      </c>
      <c r="E60" s="42">
        <f t="shared" si="0"/>
        <v>0.61870503597122317</v>
      </c>
      <c r="F60" s="42">
        <f t="shared" si="1"/>
        <v>2.0502222222222222</v>
      </c>
      <c r="G60">
        <f t="shared" si="2"/>
        <v>0.3822222222222223</v>
      </c>
    </row>
    <row r="61" spans="1:7" ht="15.75" thickBot="1" x14ac:dyDescent="0.3">
      <c r="A61" s="14" t="s">
        <v>60</v>
      </c>
      <c r="B61" s="26">
        <v>17.600000000000001</v>
      </c>
      <c r="C61" s="26">
        <v>1.9139999999999999</v>
      </c>
      <c r="D61" s="26">
        <v>1.6279999999999999</v>
      </c>
      <c r="E61" s="42">
        <f t="shared" si="0"/>
        <v>0.65847665847665859</v>
      </c>
      <c r="F61" s="42">
        <f t="shared" si="1"/>
        <v>2.0250370370370367</v>
      </c>
      <c r="G61">
        <f t="shared" si="2"/>
        <v>0.39703703703703708</v>
      </c>
    </row>
    <row r="62" spans="1:7" ht="15.75" thickBot="1" x14ac:dyDescent="0.3">
      <c r="A62" s="19"/>
      <c r="B62" s="28">
        <v>18.5</v>
      </c>
      <c r="C62" s="28">
        <v>1.857</v>
      </c>
      <c r="D62" s="28">
        <v>1.5669999999999999</v>
      </c>
      <c r="E62" s="42">
        <f t="shared" si="0"/>
        <v>0.72303765156349731</v>
      </c>
      <c r="F62" s="42">
        <f t="shared" si="1"/>
        <v>1.9866296296296295</v>
      </c>
      <c r="G62">
        <f t="shared" si="2"/>
        <v>0.41962962962962969</v>
      </c>
    </row>
    <row r="63" spans="1:7" ht="15.75" thickBot="1" x14ac:dyDescent="0.3">
      <c r="A63" s="14" t="s">
        <v>63</v>
      </c>
      <c r="B63" s="26">
        <v>18.3</v>
      </c>
      <c r="C63" s="26">
        <v>1.8759999999999999</v>
      </c>
      <c r="D63" s="26">
        <v>1.5860000000000001</v>
      </c>
      <c r="E63" s="42">
        <f t="shared" si="0"/>
        <v>0.7023959646910467</v>
      </c>
      <c r="F63" s="42">
        <f t="shared" si="1"/>
        <v>1.9985925925925927</v>
      </c>
      <c r="G63">
        <f t="shared" si="2"/>
        <v>0.41259259259259262</v>
      </c>
    </row>
    <row r="64" spans="1:7" ht="15.75" thickBot="1" x14ac:dyDescent="0.3">
      <c r="A64" s="14" t="s">
        <v>66</v>
      </c>
      <c r="B64" s="26">
        <v>16.5</v>
      </c>
      <c r="C64" s="26">
        <v>1.8839999999999999</v>
      </c>
      <c r="D64" s="26">
        <v>1.617</v>
      </c>
      <c r="E64" s="42">
        <f t="shared" si="0"/>
        <v>0.66975881261595549</v>
      </c>
      <c r="F64" s="42">
        <f t="shared" si="1"/>
        <v>2.0181111111111112</v>
      </c>
      <c r="G64">
        <f t="shared" si="2"/>
        <v>0.40111111111111114</v>
      </c>
    </row>
    <row r="65" spans="1:7" ht="15.75" thickBot="1" x14ac:dyDescent="0.3">
      <c r="A65" s="14" t="s">
        <v>68</v>
      </c>
      <c r="B65" s="26">
        <v>17.399999999999999</v>
      </c>
      <c r="C65" s="26">
        <v>1.875</v>
      </c>
      <c r="D65" s="26">
        <v>1.597</v>
      </c>
      <c r="E65" s="42">
        <f t="shared" si="0"/>
        <v>0.6906700062617408</v>
      </c>
      <c r="F65" s="42">
        <f t="shared" si="1"/>
        <v>2.0055185185185187</v>
      </c>
      <c r="G65">
        <f t="shared" si="2"/>
        <v>0.4085185185185185</v>
      </c>
    </row>
    <row r="66" spans="1:7" x14ac:dyDescent="0.25">
      <c r="A66" s="18" t="s">
        <v>71</v>
      </c>
      <c r="B66" s="27">
        <v>15.2</v>
      </c>
      <c r="C66" s="27">
        <v>1.8919999999999999</v>
      </c>
      <c r="D66" s="27">
        <v>1.6419999999999999</v>
      </c>
      <c r="E66" s="42">
        <f t="shared" si="0"/>
        <v>0.64433617539585897</v>
      </c>
      <c r="F66" s="42">
        <f t="shared" si="1"/>
        <v>2.0338518518518516</v>
      </c>
      <c r="G66">
        <f t="shared" si="2"/>
        <v>0.39185185185185195</v>
      </c>
    </row>
    <row r="67" spans="1:7" ht="15.75" thickBot="1" x14ac:dyDescent="0.3">
      <c r="A67" s="19"/>
      <c r="B67" s="28">
        <v>19.399999999999999</v>
      </c>
      <c r="C67" s="28">
        <v>1.9350000000000001</v>
      </c>
      <c r="D67" s="28">
        <v>1.621</v>
      </c>
      <c r="E67" s="42">
        <f t="shared" ref="E67:E96" si="3">(2.7/D67)-1</f>
        <v>0.66563849475632342</v>
      </c>
      <c r="F67" s="42">
        <f t="shared" ref="F67:F96" si="4">((2.7+E67)/(1+E67))</f>
        <v>2.0206296296296298</v>
      </c>
      <c r="G67">
        <f t="shared" si="2"/>
        <v>0.39962962962962967</v>
      </c>
    </row>
    <row r="68" spans="1:7" x14ac:dyDescent="0.25">
      <c r="A68" s="15" t="s">
        <v>74</v>
      </c>
      <c r="B68" s="27">
        <v>16</v>
      </c>
      <c r="C68" s="27">
        <v>1.8680000000000001</v>
      </c>
      <c r="D68" s="27">
        <v>1.61</v>
      </c>
      <c r="E68" s="42">
        <f t="shared" si="3"/>
        <v>0.67701863354037273</v>
      </c>
      <c r="F68" s="42">
        <f t="shared" si="4"/>
        <v>2.0137037037037038</v>
      </c>
      <c r="G68">
        <f t="shared" ref="G68:G96" si="5">E68/(1+E68)</f>
        <v>0.40370370370370373</v>
      </c>
    </row>
    <row r="69" spans="1:7" x14ac:dyDescent="0.25">
      <c r="A69" s="17"/>
      <c r="B69" s="29">
        <v>17.2</v>
      </c>
      <c r="C69" s="29">
        <v>1.95</v>
      </c>
      <c r="D69" s="29">
        <v>1.6639999999999999</v>
      </c>
      <c r="E69" s="42">
        <f t="shared" si="3"/>
        <v>0.62259615384615397</v>
      </c>
      <c r="F69" s="42">
        <f t="shared" si="4"/>
        <v>2.047703703703704</v>
      </c>
      <c r="G69">
        <f t="shared" si="5"/>
        <v>0.38370370370370377</v>
      </c>
    </row>
    <row r="70" spans="1:7" ht="15.75" thickBot="1" x14ac:dyDescent="0.3">
      <c r="A70" s="16"/>
      <c r="B70" s="28">
        <v>17.8</v>
      </c>
      <c r="C70" s="28">
        <v>1.9390000000000001</v>
      </c>
      <c r="D70" s="28">
        <v>1.6459999999999999</v>
      </c>
      <c r="E70" s="42">
        <f t="shared" si="3"/>
        <v>0.64034021871202929</v>
      </c>
      <c r="F70" s="42">
        <f t="shared" si="4"/>
        <v>2.0363703703703702</v>
      </c>
      <c r="G70">
        <f t="shared" si="5"/>
        <v>0.39037037037037042</v>
      </c>
    </row>
    <row r="71" spans="1:7" ht="15.75" thickBot="1" x14ac:dyDescent="0.3">
      <c r="A71" s="14" t="s">
        <v>75</v>
      </c>
      <c r="B71" s="26">
        <v>15.8</v>
      </c>
      <c r="C71" s="26">
        <v>1.88</v>
      </c>
      <c r="D71" s="26">
        <v>1.623</v>
      </c>
      <c r="E71" s="42">
        <f t="shared" si="3"/>
        <v>0.66358595194085046</v>
      </c>
      <c r="F71" s="42">
        <f t="shared" si="4"/>
        <v>2.0218888888888888</v>
      </c>
      <c r="G71">
        <f t="shared" si="5"/>
        <v>0.39888888888888896</v>
      </c>
    </row>
    <row r="72" spans="1:7" x14ac:dyDescent="0.25">
      <c r="A72" s="17"/>
      <c r="B72" s="29">
        <v>17.399999999999999</v>
      </c>
      <c r="C72" s="29">
        <v>1.859</v>
      </c>
      <c r="D72" s="29">
        <v>1.583</v>
      </c>
      <c r="E72" s="42">
        <f t="shared" si="3"/>
        <v>0.70562223626026555</v>
      </c>
      <c r="F72" s="42">
        <f t="shared" si="4"/>
        <v>1.9967037037037036</v>
      </c>
      <c r="G72">
        <f t="shared" si="5"/>
        <v>0.4137037037037038</v>
      </c>
    </row>
    <row r="73" spans="1:7" ht="15.75" thickBot="1" x14ac:dyDescent="0.3">
      <c r="A73" s="16"/>
      <c r="B73" s="28">
        <v>16</v>
      </c>
      <c r="C73" s="28">
        <v>1.96</v>
      </c>
      <c r="D73" s="28">
        <v>1.69</v>
      </c>
      <c r="E73" s="42">
        <f t="shared" si="3"/>
        <v>0.59763313609467472</v>
      </c>
      <c r="F73" s="42">
        <f t="shared" si="4"/>
        <v>2.0640740740740742</v>
      </c>
      <c r="G73">
        <f t="shared" si="5"/>
        <v>0.37407407407407411</v>
      </c>
    </row>
    <row r="74" spans="1:7" x14ac:dyDescent="0.25">
      <c r="A74" s="15" t="s">
        <v>77</v>
      </c>
      <c r="B74" s="27">
        <v>15</v>
      </c>
      <c r="C74" s="27">
        <v>1.855</v>
      </c>
      <c r="D74" s="27">
        <v>1.613</v>
      </c>
      <c r="E74" s="42">
        <f t="shared" si="3"/>
        <v>0.67389956602603851</v>
      </c>
      <c r="F74" s="42">
        <f t="shared" si="4"/>
        <v>2.0155925925925926</v>
      </c>
      <c r="G74">
        <f t="shared" si="5"/>
        <v>0.40259259259259261</v>
      </c>
    </row>
    <row r="75" spans="1:7" ht="15.75" thickBot="1" x14ac:dyDescent="0.3">
      <c r="A75" s="16"/>
      <c r="B75" s="28">
        <v>17.100000000000001</v>
      </c>
      <c r="C75" s="28">
        <v>1.8779999999999999</v>
      </c>
      <c r="D75" s="28">
        <v>1.6040000000000001</v>
      </c>
      <c r="E75" s="42">
        <f t="shared" si="3"/>
        <v>0.68329177057356616</v>
      </c>
      <c r="F75" s="42">
        <f t="shared" si="4"/>
        <v>2.0099259259259261</v>
      </c>
      <c r="G75">
        <f t="shared" si="5"/>
        <v>0.40592592592592597</v>
      </c>
    </row>
    <row r="76" spans="1:7" x14ac:dyDescent="0.25">
      <c r="A76" s="15" t="s">
        <v>78</v>
      </c>
      <c r="B76" s="27">
        <v>17.3</v>
      </c>
      <c r="C76" s="27">
        <v>1.8440000000000001</v>
      </c>
      <c r="D76" s="27">
        <v>1.5720000000000001</v>
      </c>
      <c r="E76" s="42">
        <f t="shared" si="3"/>
        <v>0.71755725190839703</v>
      </c>
      <c r="F76" s="42">
        <f t="shared" si="4"/>
        <v>1.9897777777777779</v>
      </c>
      <c r="G76">
        <f t="shared" si="5"/>
        <v>0.4177777777777778</v>
      </c>
    </row>
    <row r="77" spans="1:7" ht="15.75" thickBot="1" x14ac:dyDescent="0.3">
      <c r="A77" s="16"/>
      <c r="B77" s="28">
        <v>16.600000000000001</v>
      </c>
      <c r="C77" s="28">
        <v>2</v>
      </c>
      <c r="D77" s="28">
        <v>1.7150000000000001</v>
      </c>
      <c r="E77" s="42">
        <f t="shared" si="3"/>
        <v>0.57434402332361523</v>
      </c>
      <c r="F77" s="42">
        <f t="shared" si="4"/>
        <v>2.0798148148148146</v>
      </c>
      <c r="G77">
        <f t="shared" si="5"/>
        <v>0.36481481481481481</v>
      </c>
    </row>
    <row r="78" spans="1:7" ht="15.75" thickBot="1" x14ac:dyDescent="0.3">
      <c r="A78" s="14" t="s">
        <v>80</v>
      </c>
      <c r="B78" s="26">
        <v>17.399999999999999</v>
      </c>
      <c r="C78" s="26">
        <v>1.9490000000000001</v>
      </c>
      <c r="D78" s="26">
        <v>1.66</v>
      </c>
      <c r="E78" s="42">
        <f t="shared" si="3"/>
        <v>0.62650602409638578</v>
      </c>
      <c r="F78" s="42">
        <f t="shared" si="4"/>
        <v>2.045185185185185</v>
      </c>
      <c r="G78">
        <f t="shared" si="5"/>
        <v>0.3851851851851853</v>
      </c>
    </row>
    <row r="79" spans="1:7" x14ac:dyDescent="0.25">
      <c r="A79" s="15" t="s">
        <v>81</v>
      </c>
      <c r="B79" s="27">
        <v>18.100000000000001</v>
      </c>
      <c r="C79" s="27">
        <v>1.859</v>
      </c>
      <c r="D79" s="27">
        <v>1.5740000000000001</v>
      </c>
      <c r="E79" s="42">
        <f t="shared" si="3"/>
        <v>0.71537484116899619</v>
      </c>
      <c r="F79" s="42">
        <f t="shared" si="4"/>
        <v>1.9910370370370372</v>
      </c>
      <c r="G79">
        <f t="shared" si="5"/>
        <v>0.41703703703703704</v>
      </c>
    </row>
    <row r="80" spans="1:7" ht="15.75" thickBot="1" x14ac:dyDescent="0.3">
      <c r="A80" s="17"/>
      <c r="B80" s="29">
        <v>19.3</v>
      </c>
      <c r="C80" s="29">
        <v>1.9219999999999999</v>
      </c>
      <c r="D80" s="29">
        <v>1.611</v>
      </c>
      <c r="E80" s="42">
        <f t="shared" si="3"/>
        <v>0.67597765363128515</v>
      </c>
      <c r="F80" s="42">
        <f t="shared" si="4"/>
        <v>2.0143333333333331</v>
      </c>
      <c r="G80">
        <f t="shared" si="5"/>
        <v>0.40333333333333343</v>
      </c>
    </row>
    <row r="81" spans="1:7" ht="15.75" thickBot="1" x14ac:dyDescent="0.3">
      <c r="A81" s="14" t="s">
        <v>83</v>
      </c>
      <c r="B81" s="26">
        <v>14.7</v>
      </c>
      <c r="C81" s="26">
        <v>1.94</v>
      </c>
      <c r="D81" s="26">
        <v>1.6910000000000001</v>
      </c>
      <c r="E81" s="42">
        <f t="shared" si="3"/>
        <v>0.59668835008870502</v>
      </c>
      <c r="F81" s="42">
        <f t="shared" si="4"/>
        <v>2.0647037037037039</v>
      </c>
      <c r="G81">
        <f t="shared" si="5"/>
        <v>0.37370370370370376</v>
      </c>
    </row>
    <row r="82" spans="1:7" ht="15.75" thickBot="1" x14ac:dyDescent="0.3">
      <c r="A82" s="14" t="s">
        <v>85</v>
      </c>
      <c r="B82" s="26">
        <v>19.399999999999999</v>
      </c>
      <c r="C82" s="26">
        <v>1.802</v>
      </c>
      <c r="D82" s="26">
        <v>1.5089999999999999</v>
      </c>
      <c r="E82" s="42">
        <f t="shared" si="3"/>
        <v>0.78926441351888688</v>
      </c>
      <c r="F82" s="42">
        <f t="shared" si="4"/>
        <v>1.9501111111111111</v>
      </c>
      <c r="G82">
        <f t="shared" si="5"/>
        <v>0.44111111111111118</v>
      </c>
    </row>
    <row r="83" spans="1:7" ht="15.75" thickBot="1" x14ac:dyDescent="0.3">
      <c r="A83" s="14" t="s">
        <v>87</v>
      </c>
      <c r="B83" s="26">
        <v>14.4</v>
      </c>
      <c r="C83" s="26">
        <v>1.8460000000000001</v>
      </c>
      <c r="D83" s="26">
        <v>1.6140000000000001</v>
      </c>
      <c r="E83" s="42">
        <f t="shared" si="3"/>
        <v>0.67286245353159857</v>
      </c>
      <c r="F83" s="42">
        <f t="shared" si="4"/>
        <v>2.0162222222222224</v>
      </c>
      <c r="G83">
        <f t="shared" si="5"/>
        <v>0.40222222222222226</v>
      </c>
    </row>
    <row r="84" spans="1:7" ht="15.75" thickBot="1" x14ac:dyDescent="0.3">
      <c r="A84" s="14" t="s">
        <v>88</v>
      </c>
      <c r="B84" s="26">
        <v>16.2</v>
      </c>
      <c r="C84" s="26">
        <v>1.9690000000000001</v>
      </c>
      <c r="D84" s="26">
        <v>1.694</v>
      </c>
      <c r="E84" s="42">
        <f>(2.7/D84)-1</f>
        <v>0.59386068476977583</v>
      </c>
      <c r="F84" s="42">
        <f t="shared" si="4"/>
        <v>2.0665925925925928</v>
      </c>
      <c r="G84">
        <f t="shared" si="5"/>
        <v>0.37259259259259264</v>
      </c>
    </row>
    <row r="85" spans="1:7" ht="15.75" thickBot="1" x14ac:dyDescent="0.3">
      <c r="A85" s="14" t="s">
        <v>92</v>
      </c>
      <c r="B85" s="26">
        <v>18.100000000000001</v>
      </c>
      <c r="C85" s="26">
        <v>1.9350000000000001</v>
      </c>
      <c r="D85" s="26">
        <v>1.6379999999999999</v>
      </c>
      <c r="E85" s="42">
        <f t="shared" si="3"/>
        <v>0.64835164835164849</v>
      </c>
      <c r="F85" s="42">
        <f t="shared" si="4"/>
        <v>2.0313333333333334</v>
      </c>
      <c r="G85">
        <f t="shared" si="5"/>
        <v>0.39333333333333337</v>
      </c>
    </row>
    <row r="86" spans="1:7" x14ac:dyDescent="0.25">
      <c r="A86" s="15" t="s">
        <v>93</v>
      </c>
      <c r="B86" s="27">
        <v>25.4</v>
      </c>
      <c r="C86" s="27">
        <v>1.8779999999999999</v>
      </c>
      <c r="D86" s="27">
        <v>1.498</v>
      </c>
      <c r="E86" s="42">
        <f t="shared" si="3"/>
        <v>0.80240320427236322</v>
      </c>
      <c r="F86" s="42">
        <f t="shared" si="4"/>
        <v>1.9431851851851853</v>
      </c>
      <c r="G86">
        <f t="shared" si="5"/>
        <v>0.44518518518518518</v>
      </c>
    </row>
    <row r="87" spans="1:7" ht="15.75" thickBot="1" x14ac:dyDescent="0.3">
      <c r="A87" s="17"/>
      <c r="B87" s="29">
        <v>19.2</v>
      </c>
      <c r="C87" s="29">
        <v>1.919</v>
      </c>
      <c r="D87" s="29">
        <v>1.61</v>
      </c>
      <c r="E87" s="42">
        <f t="shared" si="3"/>
        <v>0.67701863354037273</v>
      </c>
      <c r="F87" s="42">
        <f t="shared" si="4"/>
        <v>2.0137037037037038</v>
      </c>
      <c r="G87">
        <f t="shared" si="5"/>
        <v>0.40370370370370373</v>
      </c>
    </row>
    <row r="88" spans="1:7" x14ac:dyDescent="0.25">
      <c r="A88" s="15" t="s">
        <v>94</v>
      </c>
      <c r="B88" s="27">
        <v>17.5</v>
      </c>
      <c r="C88" s="27">
        <v>1.855</v>
      </c>
      <c r="D88" s="27">
        <v>1.579</v>
      </c>
      <c r="E88" s="42">
        <f t="shared" si="3"/>
        <v>0.70994300189993687</v>
      </c>
      <c r="F88" s="42">
        <f t="shared" si="4"/>
        <v>1.9941851851851853</v>
      </c>
      <c r="G88">
        <f t="shared" si="5"/>
        <v>0.41518518518518527</v>
      </c>
    </row>
    <row r="89" spans="1:7" x14ac:dyDescent="0.25">
      <c r="A89" s="17"/>
      <c r="B89" s="29">
        <v>19.8</v>
      </c>
      <c r="C89" s="29">
        <v>1.907</v>
      </c>
      <c r="D89" s="29">
        <v>1.5920000000000001</v>
      </c>
      <c r="E89" s="42">
        <f t="shared" si="3"/>
        <v>0.69597989949748751</v>
      </c>
      <c r="F89" s="42">
        <f t="shared" si="4"/>
        <v>2.0023703703703704</v>
      </c>
      <c r="G89">
        <f t="shared" si="5"/>
        <v>0.41037037037037039</v>
      </c>
    </row>
    <row r="90" spans="1:7" x14ac:dyDescent="0.25">
      <c r="A90" s="17"/>
      <c r="B90" s="29">
        <v>15.8</v>
      </c>
      <c r="C90" s="29">
        <v>1.9219999999999999</v>
      </c>
      <c r="D90" s="29">
        <v>1.66</v>
      </c>
      <c r="E90" s="42">
        <f t="shared" si="3"/>
        <v>0.62650602409638578</v>
      </c>
      <c r="F90" s="42">
        <f t="shared" si="4"/>
        <v>2.045185185185185</v>
      </c>
      <c r="G90">
        <f t="shared" si="5"/>
        <v>0.3851851851851853</v>
      </c>
    </row>
    <row r="91" spans="1:7" ht="15.75" thickBot="1" x14ac:dyDescent="0.3">
      <c r="A91" s="16"/>
      <c r="B91" s="28">
        <v>16.2</v>
      </c>
      <c r="C91" s="28">
        <v>2.0009999999999999</v>
      </c>
      <c r="D91" s="28">
        <v>1.722</v>
      </c>
      <c r="E91" s="42">
        <f t="shared" si="3"/>
        <v>0.56794425087108036</v>
      </c>
      <c r="F91" s="42">
        <f t="shared" si="4"/>
        <v>2.084222222222222</v>
      </c>
      <c r="G91">
        <f t="shared" si="5"/>
        <v>0.36222222222222233</v>
      </c>
    </row>
    <row r="92" spans="1:7" ht="15.75" thickBot="1" x14ac:dyDescent="0.3">
      <c r="A92" s="15" t="s">
        <v>97</v>
      </c>
      <c r="B92" s="27">
        <v>14.8</v>
      </c>
      <c r="C92" s="27">
        <v>1.875</v>
      </c>
      <c r="D92" s="27">
        <v>1.633</v>
      </c>
      <c r="E92" s="42">
        <f t="shared" si="3"/>
        <v>0.65339865278628295</v>
      </c>
      <c r="F92" s="42">
        <f t="shared" si="4"/>
        <v>2.0281851851851851</v>
      </c>
      <c r="G92">
        <f t="shared" si="5"/>
        <v>0.39518518518518519</v>
      </c>
    </row>
    <row r="93" spans="1:7" ht="15.75" thickBot="1" x14ac:dyDescent="0.3">
      <c r="A93" s="14" t="s">
        <v>99</v>
      </c>
      <c r="B93" s="26">
        <v>21.1</v>
      </c>
      <c r="C93" s="26">
        <v>1.871</v>
      </c>
      <c r="D93" s="26">
        <v>1.5449999999999999</v>
      </c>
      <c r="E93" s="42">
        <f t="shared" si="3"/>
        <v>0.74757281553398069</v>
      </c>
      <c r="F93" s="42">
        <f t="shared" si="4"/>
        <v>1.9727777777777777</v>
      </c>
      <c r="G93">
        <f t="shared" si="5"/>
        <v>0.42777777777777781</v>
      </c>
    </row>
    <row r="94" spans="1:7" ht="15.75" thickBot="1" x14ac:dyDescent="0.3">
      <c r="A94" s="14" t="s">
        <v>100</v>
      </c>
      <c r="B94" s="26">
        <v>16.899999999999999</v>
      </c>
      <c r="C94" s="26">
        <v>1.8959999999999999</v>
      </c>
      <c r="D94" s="26">
        <v>1.6220000000000001</v>
      </c>
      <c r="E94" s="42">
        <f t="shared" si="3"/>
        <v>0.66461159062885322</v>
      </c>
      <c r="F94" s="42">
        <f t="shared" si="4"/>
        <v>2.0212592592592595</v>
      </c>
      <c r="G94">
        <f t="shared" si="5"/>
        <v>0.39925925925925926</v>
      </c>
    </row>
    <row r="95" spans="1:7" ht="15.75" thickBot="1" x14ac:dyDescent="0.3">
      <c r="A95" s="14" t="s">
        <v>101</v>
      </c>
      <c r="B95" s="26">
        <v>18.5</v>
      </c>
      <c r="C95" s="26">
        <v>1.9219999999999999</v>
      </c>
      <c r="D95" s="26">
        <v>1.6220000000000001</v>
      </c>
      <c r="E95" s="42">
        <f t="shared" si="3"/>
        <v>0.66461159062885322</v>
      </c>
      <c r="F95" s="42">
        <f t="shared" si="4"/>
        <v>2.0212592592592595</v>
      </c>
      <c r="G95">
        <f t="shared" si="5"/>
        <v>0.39925925925925926</v>
      </c>
    </row>
    <row r="96" spans="1:7" ht="15.75" thickBot="1" x14ac:dyDescent="0.3">
      <c r="A96" s="14" t="s">
        <v>102</v>
      </c>
      <c r="B96" s="26">
        <v>15.8</v>
      </c>
      <c r="C96" s="26">
        <v>1.95</v>
      </c>
      <c r="D96" s="26">
        <v>1.6839999999999999</v>
      </c>
      <c r="E96" s="42">
        <f t="shared" si="3"/>
        <v>0.60332541567695985</v>
      </c>
      <c r="F96" s="42">
        <f t="shared" si="4"/>
        <v>2.0602962962962961</v>
      </c>
      <c r="G96">
        <f t="shared" si="5"/>
        <v>0.37629629629629641</v>
      </c>
    </row>
    <row r="97" spans="2:7" x14ac:dyDescent="0.25">
      <c r="B97" s="4" t="s">
        <v>205</v>
      </c>
      <c r="C97" s="36">
        <f>AVERAGE(C3:C96)</f>
        <v>1.910180851063829</v>
      </c>
      <c r="D97" s="36">
        <f>AVERAGE(D3:D96)</f>
        <v>1.6193829787234046</v>
      </c>
      <c r="E97" s="36">
        <f>AVERAGE(E3:E96)</f>
        <v>0.66938704917980851</v>
      </c>
      <c r="F97" s="36">
        <f>AVERAGE(F3:F96)</f>
        <v>2.019611505122143</v>
      </c>
      <c r="G97" s="36">
        <f>AVERAGE(G3:G96)</f>
        <v>0.40022852639873918</v>
      </c>
    </row>
    <row r="98" spans="2:7" x14ac:dyDescent="0.25">
      <c r="B98" s="4" t="s">
        <v>216</v>
      </c>
      <c r="C98" s="36">
        <f>MAX(C3:C96)</f>
        <v>2.0310000000000001</v>
      </c>
      <c r="D98" s="36">
        <f t="shared" ref="D98:F98" si="6">MAX(D3:D96)</f>
        <v>1.7709999999999999</v>
      </c>
      <c r="E98" s="36">
        <f t="shared" si="6"/>
        <v>0.80240320427236322</v>
      </c>
      <c r="F98" s="36">
        <f t="shared" si="6"/>
        <v>2.1150740740740743</v>
      </c>
      <c r="G98" s="36">
        <f t="shared" ref="G98" si="7">MAX(G3:G96)</f>
        <v>0.44518518518518518</v>
      </c>
    </row>
    <row r="99" spans="2:7" x14ac:dyDescent="0.25">
      <c r="B99" s="4" t="s">
        <v>217</v>
      </c>
      <c r="C99" s="36">
        <f>MIN(C3:C96)</f>
        <v>1.802</v>
      </c>
      <c r="D99" s="36">
        <f t="shared" ref="D99:F99" si="8">MIN(D3:D96)</f>
        <v>1.498</v>
      </c>
      <c r="E99" s="36">
        <f t="shared" si="8"/>
        <v>0.52456239412761163</v>
      </c>
      <c r="F99" s="36">
        <f t="shared" si="8"/>
        <v>1.9431851851851853</v>
      </c>
      <c r="G99" s="36">
        <f t="shared" ref="G99" si="9">MIN(G3:G96)</f>
        <v>0.34407407407407414</v>
      </c>
    </row>
    <row r="100" spans="2:7" x14ac:dyDescent="0.25">
      <c r="B100" s="4" t="s">
        <v>206</v>
      </c>
      <c r="C100" s="36">
        <f>_xlfn.STDEV.S(C3:C96)</f>
        <v>4.8288328197693041E-2</v>
      </c>
      <c r="D100" s="36">
        <f>_xlfn.STDEV.S(D3:D96)</f>
        <v>5.766180718843366E-2</v>
      </c>
      <c r="E100" s="36">
        <f>_xlfn.STDEV.S(E3:E96)</f>
        <v>5.9257699053139032E-2</v>
      </c>
      <c r="F100" s="36">
        <f>_xlfn.STDEV.S(F3:F96)</f>
        <v>3.6305582303828604E-2</v>
      </c>
      <c r="G100" s="36">
        <f>_xlfn.STDEV.S(G3:G96)</f>
        <v>2.1356224884605056E-2</v>
      </c>
    </row>
    <row r="101" spans="2:7" x14ac:dyDescent="0.25">
      <c r="B101" s="4" t="s">
        <v>207</v>
      </c>
      <c r="C101" s="36">
        <f>C100/C97</f>
        <v>2.5279453602940281E-2</v>
      </c>
      <c r="D101" s="36">
        <f>D100/D97</f>
        <v>3.5607270143032957E-2</v>
      </c>
      <c r="E101" s="36">
        <f>E100/E97</f>
        <v>8.8525314503390434E-2</v>
      </c>
      <c r="F101" s="36">
        <f>F100/F97</f>
        <v>1.7976517865812464E-2</v>
      </c>
      <c r="G101" s="36">
        <f>G100/G97</f>
        <v>5.336007674607457E-2</v>
      </c>
    </row>
    <row r="110" spans="2:7" x14ac:dyDescent="0.25">
      <c r="C110" s="4">
        <v>1.4</v>
      </c>
      <c r="D110" s="4">
        <v>1.7</v>
      </c>
      <c r="E110" s="44">
        <v>0.61599999999999999</v>
      </c>
      <c r="F110" s="44">
        <f>((2.7+E110)/(1+E110))</f>
        <v>2.0519801980198018</v>
      </c>
      <c r="G110" s="44">
        <f>E110/(1+E110)</f>
        <v>0.38118811881188114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4C77-DA83-4E55-8852-0200DE02D468}">
  <dimension ref="A1:D52"/>
  <sheetViews>
    <sheetView topLeftCell="A13" zoomScale="85" zoomScaleNormal="85" workbookViewId="0">
      <selection activeCell="C53" sqref="C53"/>
    </sheetView>
  </sheetViews>
  <sheetFormatPr defaultRowHeight="15" x14ac:dyDescent="0.25"/>
  <cols>
    <col min="1" max="1" width="12" style="4" bestFit="1" customWidth="1"/>
    <col min="2" max="3" width="9.140625" style="4"/>
  </cols>
  <sheetData>
    <row r="1" spans="1:4" x14ac:dyDescent="0.25">
      <c r="A1" s="52" t="s">
        <v>1</v>
      </c>
      <c r="B1" s="77" t="s">
        <v>221</v>
      </c>
      <c r="C1" s="77" t="s">
        <v>222</v>
      </c>
      <c r="D1" s="76" t="s">
        <v>223</v>
      </c>
    </row>
    <row r="2" spans="1:4" ht="15.75" thickBot="1" x14ac:dyDescent="0.3">
      <c r="A2" s="53"/>
      <c r="B2" s="78"/>
      <c r="C2" s="78"/>
      <c r="D2" s="76"/>
    </row>
    <row r="3" spans="1:4" ht="15.75" thickBot="1" x14ac:dyDescent="0.3">
      <c r="A3" s="8" t="s">
        <v>2</v>
      </c>
      <c r="B3" s="22">
        <v>154.30000000000001</v>
      </c>
      <c r="C3" s="22">
        <v>6.6</v>
      </c>
      <c r="D3">
        <f>B3-C3</f>
        <v>147.70000000000002</v>
      </c>
    </row>
    <row r="4" spans="1:4" ht="15.75" thickBot="1" x14ac:dyDescent="0.3">
      <c r="A4" s="8" t="s">
        <v>3</v>
      </c>
      <c r="B4" s="22">
        <v>171.4</v>
      </c>
      <c r="C4" s="22">
        <v>6.75</v>
      </c>
      <c r="D4">
        <f t="shared" ref="D4:D27" si="0">B4-C4</f>
        <v>164.65</v>
      </c>
    </row>
    <row r="5" spans="1:4" ht="15.75" thickBot="1" x14ac:dyDescent="0.3">
      <c r="A5" s="11" t="s">
        <v>4</v>
      </c>
      <c r="B5" s="25">
        <v>179.3</v>
      </c>
      <c r="C5" s="25">
        <v>23.9</v>
      </c>
      <c r="D5">
        <f t="shared" si="0"/>
        <v>155.4</v>
      </c>
    </row>
    <row r="6" spans="1:4" ht="15.75" thickBot="1" x14ac:dyDescent="0.3">
      <c r="A6" s="11" t="s">
        <v>5</v>
      </c>
      <c r="B6" s="25">
        <v>160.1</v>
      </c>
      <c r="C6" s="25">
        <v>6.55</v>
      </c>
      <c r="D6">
        <f t="shared" si="0"/>
        <v>153.54999999999998</v>
      </c>
    </row>
    <row r="7" spans="1:4" ht="15.75" thickBot="1" x14ac:dyDescent="0.3">
      <c r="A7" s="8" t="s">
        <v>6</v>
      </c>
      <c r="B7" s="22">
        <v>228</v>
      </c>
      <c r="C7" s="22">
        <v>14.3</v>
      </c>
      <c r="D7">
        <f t="shared" si="0"/>
        <v>213.7</v>
      </c>
    </row>
    <row r="8" spans="1:4" ht="15.75" thickBot="1" x14ac:dyDescent="0.3">
      <c r="A8" s="11" t="s">
        <v>7</v>
      </c>
      <c r="B8" s="25">
        <v>223.7</v>
      </c>
      <c r="C8" s="25">
        <v>15.06</v>
      </c>
      <c r="D8">
        <f t="shared" si="0"/>
        <v>208.64</v>
      </c>
    </row>
    <row r="9" spans="1:4" ht="15.75" thickBot="1" x14ac:dyDescent="0.3">
      <c r="A9" s="11" t="s">
        <v>8</v>
      </c>
      <c r="B9" s="25">
        <v>240.5</v>
      </c>
      <c r="C9" s="25">
        <v>31.35</v>
      </c>
      <c r="D9">
        <f t="shared" si="0"/>
        <v>209.15</v>
      </c>
    </row>
    <row r="10" spans="1:4" ht="15.75" thickBot="1" x14ac:dyDescent="0.3">
      <c r="A10" s="11" t="s">
        <v>9</v>
      </c>
      <c r="B10" s="25">
        <v>165.1</v>
      </c>
      <c r="C10" s="25">
        <v>1.6</v>
      </c>
      <c r="D10">
        <f t="shared" si="0"/>
        <v>163.5</v>
      </c>
    </row>
    <row r="11" spans="1:4" ht="15.75" thickBot="1" x14ac:dyDescent="0.3">
      <c r="A11" s="11" t="s">
        <v>10</v>
      </c>
      <c r="B11" s="25">
        <v>205.4</v>
      </c>
      <c r="C11" s="50">
        <v>11.07</v>
      </c>
      <c r="D11">
        <f t="shared" si="0"/>
        <v>194.33</v>
      </c>
    </row>
    <row r="12" spans="1:4" ht="15.75" thickBot="1" x14ac:dyDescent="0.3">
      <c r="A12" s="11" t="s">
        <v>12</v>
      </c>
      <c r="B12" s="25">
        <v>220.1</v>
      </c>
      <c r="C12" s="25">
        <v>5.05</v>
      </c>
      <c r="D12">
        <f t="shared" si="0"/>
        <v>215.04999999999998</v>
      </c>
    </row>
    <row r="13" spans="1:4" ht="15.75" thickBot="1" x14ac:dyDescent="0.3">
      <c r="A13" s="11" t="s">
        <v>16</v>
      </c>
      <c r="B13" s="25">
        <v>298.3</v>
      </c>
      <c r="C13" s="50">
        <v>32.5</v>
      </c>
      <c r="D13">
        <f t="shared" si="0"/>
        <v>265.8</v>
      </c>
    </row>
    <row r="14" spans="1:4" x14ac:dyDescent="0.25">
      <c r="A14" s="12" t="s">
        <v>17</v>
      </c>
      <c r="B14" s="49">
        <v>270.10000000000002</v>
      </c>
      <c r="C14" s="22">
        <v>4.95</v>
      </c>
      <c r="D14">
        <f t="shared" si="0"/>
        <v>265.15000000000003</v>
      </c>
    </row>
    <row r="15" spans="1:4" ht="15.75" thickBot="1" x14ac:dyDescent="0.3">
      <c r="A15" s="13" t="s">
        <v>17</v>
      </c>
      <c r="B15" s="23">
        <v>270.10000000000002</v>
      </c>
      <c r="C15" s="23">
        <v>4.95</v>
      </c>
      <c r="D15">
        <f t="shared" si="0"/>
        <v>265.15000000000003</v>
      </c>
    </row>
    <row r="16" spans="1:4" ht="15.75" thickBot="1" x14ac:dyDescent="0.3">
      <c r="A16" s="8" t="s">
        <v>21</v>
      </c>
      <c r="B16" s="22">
        <v>296.3</v>
      </c>
      <c r="C16" s="22">
        <v>16.600000000000001</v>
      </c>
      <c r="D16">
        <f t="shared" si="0"/>
        <v>279.7</v>
      </c>
    </row>
    <row r="17" spans="1:4" ht="15.75" thickBot="1" x14ac:dyDescent="0.3">
      <c r="A17" s="8" t="s">
        <v>22</v>
      </c>
      <c r="B17" s="22">
        <v>294.7</v>
      </c>
      <c r="C17" s="51">
        <v>6.65</v>
      </c>
      <c r="D17">
        <f t="shared" si="0"/>
        <v>288.05</v>
      </c>
    </row>
    <row r="18" spans="1:4" ht="15.75" thickBot="1" x14ac:dyDescent="0.3">
      <c r="A18" s="11" t="s">
        <v>23</v>
      </c>
      <c r="B18" s="25">
        <v>309.39999999999998</v>
      </c>
      <c r="C18" s="25">
        <v>19.25</v>
      </c>
      <c r="D18">
        <f t="shared" si="0"/>
        <v>290.14999999999998</v>
      </c>
    </row>
    <row r="19" spans="1:4" ht="15.75" thickBot="1" x14ac:dyDescent="0.3">
      <c r="A19" s="11" t="s">
        <v>25</v>
      </c>
      <c r="B19" s="25">
        <v>222.6</v>
      </c>
      <c r="C19" s="25">
        <v>0.5</v>
      </c>
      <c r="D19">
        <f t="shared" si="0"/>
        <v>222.1</v>
      </c>
    </row>
    <row r="20" spans="1:4" ht="15.75" thickBot="1" x14ac:dyDescent="0.3">
      <c r="A20" s="15" t="s">
        <v>27</v>
      </c>
      <c r="B20" s="27">
        <v>283</v>
      </c>
      <c r="C20" s="22">
        <v>27.55</v>
      </c>
      <c r="D20">
        <f t="shared" si="0"/>
        <v>255.45</v>
      </c>
    </row>
    <row r="21" spans="1:4" ht="15.75" thickBot="1" x14ac:dyDescent="0.3">
      <c r="A21" s="15" t="s">
        <v>28</v>
      </c>
      <c r="B21" s="27">
        <v>263.7</v>
      </c>
      <c r="C21" s="22">
        <v>19.75</v>
      </c>
      <c r="D21">
        <f t="shared" si="0"/>
        <v>243.95</v>
      </c>
    </row>
    <row r="22" spans="1:4" ht="15.75" thickBot="1" x14ac:dyDescent="0.3">
      <c r="A22" s="15" t="s">
        <v>29</v>
      </c>
      <c r="B22" s="27">
        <v>297.3</v>
      </c>
      <c r="C22" s="22">
        <v>13.8</v>
      </c>
      <c r="D22">
        <f t="shared" si="0"/>
        <v>283.5</v>
      </c>
    </row>
    <row r="23" spans="1:4" ht="15.75" thickBot="1" x14ac:dyDescent="0.3">
      <c r="A23" s="14" t="s">
        <v>30</v>
      </c>
      <c r="B23" s="26">
        <v>331.5</v>
      </c>
      <c r="C23" s="25">
        <v>13.6</v>
      </c>
      <c r="D23">
        <f t="shared" si="0"/>
        <v>317.89999999999998</v>
      </c>
    </row>
    <row r="24" spans="1:4" ht="15.75" thickBot="1" x14ac:dyDescent="0.3">
      <c r="A24" s="15" t="s">
        <v>31</v>
      </c>
      <c r="B24" s="27">
        <v>320.60000000000002</v>
      </c>
      <c r="C24" s="22">
        <v>19.75</v>
      </c>
      <c r="D24">
        <f t="shared" si="0"/>
        <v>300.85000000000002</v>
      </c>
    </row>
    <row r="25" spans="1:4" ht="15.75" thickBot="1" x14ac:dyDescent="0.3">
      <c r="A25" s="14" t="s">
        <v>32</v>
      </c>
      <c r="B25" s="26">
        <v>363.8</v>
      </c>
      <c r="C25" s="25">
        <v>14.4</v>
      </c>
      <c r="D25">
        <f t="shared" si="0"/>
        <v>349.40000000000003</v>
      </c>
    </row>
    <row r="26" spans="1:4" ht="15.75" thickBot="1" x14ac:dyDescent="0.3">
      <c r="A26" s="15" t="s">
        <v>33</v>
      </c>
      <c r="B26" s="27">
        <v>334.8</v>
      </c>
      <c r="C26" s="22">
        <v>19.5</v>
      </c>
      <c r="D26">
        <f t="shared" si="0"/>
        <v>315.3</v>
      </c>
    </row>
    <row r="27" spans="1:4" ht="15.75" thickBot="1" x14ac:dyDescent="0.3">
      <c r="A27" s="15" t="s">
        <v>34</v>
      </c>
      <c r="B27" s="27">
        <v>327.60000000000002</v>
      </c>
      <c r="C27" s="22">
        <v>12</v>
      </c>
      <c r="D27">
        <f t="shared" si="0"/>
        <v>315.60000000000002</v>
      </c>
    </row>
    <row r="28" spans="1:4" ht="15.75" thickBot="1" x14ac:dyDescent="0.3">
      <c r="A28" s="14" t="s">
        <v>40</v>
      </c>
      <c r="B28" s="26">
        <v>322</v>
      </c>
      <c r="C28" s="25">
        <v>25.35</v>
      </c>
      <c r="D28">
        <f t="shared" ref="D28:D38" si="1">B28-C28</f>
        <v>296.64999999999998</v>
      </c>
    </row>
    <row r="29" spans="1:4" x14ac:dyDescent="0.25">
      <c r="A29" s="15" t="s">
        <v>41</v>
      </c>
      <c r="B29" s="27">
        <v>314.5</v>
      </c>
      <c r="C29" s="22">
        <v>22.1</v>
      </c>
      <c r="D29">
        <f t="shared" si="1"/>
        <v>292.39999999999998</v>
      </c>
    </row>
    <row r="30" spans="1:4" ht="15.75" thickBot="1" x14ac:dyDescent="0.3">
      <c r="A30" s="4" t="s">
        <v>43</v>
      </c>
      <c r="B30" s="4">
        <v>269.2</v>
      </c>
      <c r="C30" s="40">
        <v>14.5</v>
      </c>
      <c r="D30">
        <f t="shared" si="1"/>
        <v>254.7</v>
      </c>
    </row>
    <row r="31" spans="1:4" ht="15.75" thickBot="1" x14ac:dyDescent="0.3">
      <c r="A31" s="15" t="s">
        <v>44</v>
      </c>
      <c r="B31" s="27">
        <v>271.89999999999998</v>
      </c>
      <c r="C31" s="22">
        <v>15.25</v>
      </c>
      <c r="D31">
        <f t="shared" si="1"/>
        <v>256.64999999999998</v>
      </c>
    </row>
    <row r="32" spans="1:4" ht="15.75" thickBot="1" x14ac:dyDescent="0.3">
      <c r="A32" s="14" t="s">
        <v>47</v>
      </c>
      <c r="B32" s="26">
        <v>187.3</v>
      </c>
      <c r="C32" s="26">
        <v>9.4</v>
      </c>
      <c r="D32">
        <f t="shared" si="1"/>
        <v>177.9</v>
      </c>
    </row>
    <row r="33" spans="1:4" ht="15.75" thickBot="1" x14ac:dyDescent="0.3">
      <c r="A33" s="14" t="s">
        <v>50</v>
      </c>
      <c r="B33" s="26">
        <v>187.6</v>
      </c>
      <c r="C33" s="26">
        <v>10.199999999999999</v>
      </c>
      <c r="D33">
        <f t="shared" si="1"/>
        <v>177.4</v>
      </c>
    </row>
    <row r="34" spans="1:4" ht="15.75" thickBot="1" x14ac:dyDescent="0.3">
      <c r="A34" s="14" t="s">
        <v>54</v>
      </c>
      <c r="B34" s="26">
        <v>249.6</v>
      </c>
      <c r="C34" s="26">
        <v>10</v>
      </c>
      <c r="D34">
        <f t="shared" si="1"/>
        <v>239.6</v>
      </c>
    </row>
    <row r="35" spans="1:4" ht="16.5" customHeight="1" thickBot="1" x14ac:dyDescent="0.3">
      <c r="A35" s="15" t="s">
        <v>74</v>
      </c>
      <c r="B35" s="27">
        <v>316.39999999999998</v>
      </c>
      <c r="C35" s="27">
        <v>28.5</v>
      </c>
      <c r="D35">
        <f t="shared" si="1"/>
        <v>287.89999999999998</v>
      </c>
    </row>
    <row r="36" spans="1:4" ht="15.75" thickBot="1" x14ac:dyDescent="0.3">
      <c r="A36" s="15" t="s">
        <v>76</v>
      </c>
      <c r="B36" s="27">
        <v>336.6</v>
      </c>
      <c r="C36" s="27">
        <v>40.75</v>
      </c>
      <c r="D36">
        <f t="shared" si="1"/>
        <v>295.85000000000002</v>
      </c>
    </row>
    <row r="37" spans="1:4" ht="15.75" thickBot="1" x14ac:dyDescent="0.3">
      <c r="A37" s="15" t="s">
        <v>78</v>
      </c>
      <c r="B37" s="27">
        <v>346</v>
      </c>
      <c r="C37" s="27">
        <v>16.7</v>
      </c>
      <c r="D37">
        <f t="shared" si="1"/>
        <v>329.3</v>
      </c>
    </row>
    <row r="38" spans="1:4" ht="15.75" thickBot="1" x14ac:dyDescent="0.3">
      <c r="A38" s="14" t="s">
        <v>79</v>
      </c>
      <c r="B38" s="26">
        <v>519.29999999999995</v>
      </c>
      <c r="C38" s="26">
        <v>22.9</v>
      </c>
      <c r="D38">
        <f t="shared" si="1"/>
        <v>496.4</v>
      </c>
    </row>
    <row r="39" spans="1:4" ht="15.75" thickBot="1" x14ac:dyDescent="0.3">
      <c r="A39" s="15" t="s">
        <v>81</v>
      </c>
      <c r="B39" s="27">
        <v>362.3</v>
      </c>
      <c r="C39" s="27">
        <v>11.7</v>
      </c>
      <c r="D39">
        <f t="shared" ref="D39:D49" si="2">B39-C39</f>
        <v>350.6</v>
      </c>
    </row>
    <row r="40" spans="1:4" ht="15.75" thickBot="1" x14ac:dyDescent="0.3">
      <c r="A40" s="14" t="s">
        <v>82</v>
      </c>
      <c r="B40" s="26">
        <v>453.8</v>
      </c>
      <c r="C40" s="26">
        <v>31.8</v>
      </c>
      <c r="D40">
        <f t="shared" si="2"/>
        <v>422</v>
      </c>
    </row>
    <row r="41" spans="1:4" ht="15.75" thickBot="1" x14ac:dyDescent="0.3">
      <c r="A41" s="14" t="s">
        <v>83</v>
      </c>
      <c r="B41" s="26">
        <v>335.3</v>
      </c>
      <c r="C41" s="26">
        <v>11.4</v>
      </c>
      <c r="D41">
        <f t="shared" si="2"/>
        <v>323.90000000000003</v>
      </c>
    </row>
    <row r="42" spans="1:4" ht="15.75" thickBot="1" x14ac:dyDescent="0.3">
      <c r="A42" s="14" t="s">
        <v>84</v>
      </c>
      <c r="B42" s="26">
        <v>496.4</v>
      </c>
      <c r="C42" s="26">
        <v>24.5</v>
      </c>
      <c r="D42">
        <f t="shared" si="2"/>
        <v>471.9</v>
      </c>
    </row>
    <row r="43" spans="1:4" ht="15.75" thickBot="1" x14ac:dyDescent="0.3">
      <c r="A43" s="14" t="s">
        <v>85</v>
      </c>
      <c r="B43" s="26">
        <v>430</v>
      </c>
      <c r="C43" s="26">
        <v>4.42</v>
      </c>
      <c r="D43">
        <f t="shared" si="2"/>
        <v>425.58</v>
      </c>
    </row>
    <row r="44" spans="1:4" ht="15.75" thickBot="1" x14ac:dyDescent="0.3">
      <c r="A44" s="14" t="s">
        <v>86</v>
      </c>
      <c r="B44" s="26">
        <v>310.60000000000002</v>
      </c>
      <c r="C44" s="26">
        <v>23.85</v>
      </c>
      <c r="D44">
        <f t="shared" si="2"/>
        <v>286.75</v>
      </c>
    </row>
    <row r="45" spans="1:4" ht="15.75" thickBot="1" x14ac:dyDescent="0.3">
      <c r="A45" s="14" t="s">
        <v>87</v>
      </c>
      <c r="B45" s="26">
        <v>425</v>
      </c>
      <c r="C45" s="26">
        <v>23.85</v>
      </c>
      <c r="D45">
        <f t="shared" si="2"/>
        <v>401.15</v>
      </c>
    </row>
    <row r="46" spans="1:4" ht="15.75" thickBot="1" x14ac:dyDescent="0.3">
      <c r="A46" s="14" t="s">
        <v>88</v>
      </c>
      <c r="B46" s="26">
        <v>520.6</v>
      </c>
      <c r="C46" s="26">
        <v>23</v>
      </c>
      <c r="D46">
        <f t="shared" si="2"/>
        <v>497.6</v>
      </c>
    </row>
    <row r="47" spans="1:4" ht="15.75" thickBot="1" x14ac:dyDescent="0.3">
      <c r="A47" s="15" t="s">
        <v>96</v>
      </c>
      <c r="B47" s="27">
        <v>342.1</v>
      </c>
      <c r="C47" s="27">
        <v>18</v>
      </c>
      <c r="D47">
        <f t="shared" si="2"/>
        <v>324.10000000000002</v>
      </c>
    </row>
    <row r="48" spans="1:4" ht="15.75" thickBot="1" x14ac:dyDescent="0.3">
      <c r="A48" s="15" t="s">
        <v>97</v>
      </c>
      <c r="B48" s="27">
        <v>375.4</v>
      </c>
      <c r="C48" s="27">
        <v>18.75</v>
      </c>
      <c r="D48">
        <f t="shared" si="2"/>
        <v>356.65</v>
      </c>
    </row>
    <row r="49" spans="1:4" ht="15.75" thickBot="1" x14ac:dyDescent="0.3">
      <c r="A49" s="14" t="s">
        <v>98</v>
      </c>
      <c r="B49" s="26">
        <v>391.5</v>
      </c>
      <c r="C49" s="26">
        <v>19</v>
      </c>
      <c r="D49">
        <f t="shared" si="2"/>
        <v>372.5</v>
      </c>
    </row>
    <row r="50" spans="1:4" x14ac:dyDescent="0.25">
      <c r="B50" s="4" t="s">
        <v>264</v>
      </c>
      <c r="C50" s="43">
        <f>AVERAGE(C3:C49)</f>
        <v>16.46595744680851</v>
      </c>
      <c r="D50" s="43"/>
    </row>
    <row r="51" spans="1:4" x14ac:dyDescent="0.25">
      <c r="B51" s="4" t="s">
        <v>216</v>
      </c>
      <c r="C51" s="4">
        <f>MAX(C3:C49)</f>
        <v>40.75</v>
      </c>
      <c r="D51" s="4"/>
    </row>
    <row r="52" spans="1:4" x14ac:dyDescent="0.25">
      <c r="B52" s="4" t="s">
        <v>217</v>
      </c>
      <c r="C52" s="36">
        <f>MIN(C3:C49)</f>
        <v>0.5</v>
      </c>
      <c r="D52" s="36"/>
    </row>
  </sheetData>
  <mergeCells count="3">
    <mergeCell ref="D1:D2"/>
    <mergeCell ref="B1:B2"/>
    <mergeCell ref="C1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3D11-71E9-4450-A3D8-EDDDD63EB0D1}">
  <dimension ref="A1:N164"/>
  <sheetViews>
    <sheetView workbookViewId="0">
      <selection activeCell="B2" sqref="B2:G156"/>
    </sheetView>
  </sheetViews>
  <sheetFormatPr defaultRowHeight="15" x14ac:dyDescent="0.25"/>
  <cols>
    <col min="1" max="1" width="9.140625" style="4"/>
    <col min="2" max="2" width="23.42578125" style="4" bestFit="1" customWidth="1"/>
    <col min="3" max="6" width="9.140625" style="4"/>
    <col min="8" max="8" width="10" style="29" bestFit="1" customWidth="1"/>
  </cols>
  <sheetData>
    <row r="1" spans="1:8" ht="15.75" thickBot="1" x14ac:dyDescent="0.3">
      <c r="A1" s="1" t="s">
        <v>0</v>
      </c>
      <c r="B1" s="6" t="s">
        <v>1</v>
      </c>
      <c r="C1" s="56" t="s">
        <v>224</v>
      </c>
      <c r="D1" s="56" t="s">
        <v>227</v>
      </c>
      <c r="E1" s="56" t="s">
        <v>225</v>
      </c>
      <c r="F1" s="56" t="s">
        <v>226</v>
      </c>
      <c r="G1" s="45" t="s">
        <v>228</v>
      </c>
      <c r="H1" s="38"/>
    </row>
    <row r="2" spans="1:8" x14ac:dyDescent="0.25">
      <c r="A2" s="86">
        <v>1</v>
      </c>
      <c r="B2" s="82" t="s">
        <v>2</v>
      </c>
      <c r="C2" s="54">
        <v>0.1</v>
      </c>
      <c r="D2" s="54">
        <v>43.5</v>
      </c>
      <c r="E2" s="54">
        <v>42.7</v>
      </c>
      <c r="F2" s="54">
        <v>13.7</v>
      </c>
      <c r="G2">
        <f>E2+F2</f>
        <v>56.400000000000006</v>
      </c>
    </row>
    <row r="3" spans="1:8" ht="15.75" thickBot="1" x14ac:dyDescent="0.3">
      <c r="A3" s="87"/>
      <c r="B3" s="84"/>
      <c r="C3" s="55">
        <v>21.7</v>
      </c>
      <c r="D3" s="55">
        <v>54</v>
      </c>
      <c r="E3" s="55">
        <v>20</v>
      </c>
      <c r="F3" s="55">
        <v>4.3</v>
      </c>
      <c r="G3">
        <f t="shared" ref="G3:G66" si="0">E3+F3</f>
        <v>24.3</v>
      </c>
    </row>
    <row r="4" spans="1:8" x14ac:dyDescent="0.25">
      <c r="A4" s="86">
        <v>2</v>
      </c>
      <c r="B4" s="82" t="s">
        <v>3</v>
      </c>
      <c r="C4" s="54">
        <v>10.4</v>
      </c>
      <c r="D4" s="54">
        <v>75.5</v>
      </c>
      <c r="E4" s="54">
        <v>14.1</v>
      </c>
      <c r="F4" s="54">
        <v>0</v>
      </c>
      <c r="G4">
        <f t="shared" si="0"/>
        <v>14.1</v>
      </c>
    </row>
    <row r="5" spans="1:8" x14ac:dyDescent="0.25">
      <c r="A5" s="88"/>
      <c r="B5" s="83"/>
      <c r="C5" s="24">
        <v>17.5</v>
      </c>
      <c r="D5" s="24">
        <v>48.1</v>
      </c>
      <c r="E5" s="24">
        <v>27.2</v>
      </c>
      <c r="F5" s="24">
        <v>7.2</v>
      </c>
      <c r="G5">
        <f t="shared" si="0"/>
        <v>34.4</v>
      </c>
    </row>
    <row r="6" spans="1:8" x14ac:dyDescent="0.25">
      <c r="A6" s="88"/>
      <c r="B6" s="83"/>
      <c r="C6" s="24">
        <v>2</v>
      </c>
      <c r="D6" s="24">
        <v>71.3</v>
      </c>
      <c r="E6" s="24">
        <v>26.7</v>
      </c>
      <c r="F6" s="24">
        <v>0</v>
      </c>
      <c r="G6">
        <f t="shared" si="0"/>
        <v>26.7</v>
      </c>
    </row>
    <row r="7" spans="1:8" ht="15.75" thickBot="1" x14ac:dyDescent="0.3">
      <c r="A7" s="87"/>
      <c r="B7" s="84"/>
      <c r="C7" s="55">
        <v>17</v>
      </c>
      <c r="D7" s="55">
        <v>52</v>
      </c>
      <c r="E7" s="55">
        <v>23.9</v>
      </c>
      <c r="F7" s="55">
        <v>7.1</v>
      </c>
      <c r="G7">
        <f t="shared" si="0"/>
        <v>31</v>
      </c>
    </row>
    <row r="8" spans="1:8" ht="15.75" thickBot="1" x14ac:dyDescent="0.3">
      <c r="A8" s="4">
        <v>3</v>
      </c>
      <c r="B8" s="11" t="s">
        <v>4</v>
      </c>
      <c r="C8" s="25">
        <v>15</v>
      </c>
      <c r="D8" s="25">
        <v>74</v>
      </c>
      <c r="E8" s="25">
        <v>11</v>
      </c>
      <c r="F8" s="25">
        <v>0</v>
      </c>
      <c r="G8">
        <f t="shared" si="0"/>
        <v>11</v>
      </c>
    </row>
    <row r="9" spans="1:8" ht="15.75" thickBot="1" x14ac:dyDescent="0.3">
      <c r="A9" s="4">
        <v>4</v>
      </c>
      <c r="B9" s="11" t="s">
        <v>5</v>
      </c>
      <c r="C9" s="25">
        <v>12.5</v>
      </c>
      <c r="D9" s="25">
        <v>73.7</v>
      </c>
      <c r="E9" s="25">
        <v>13.8</v>
      </c>
      <c r="F9" s="25">
        <v>0</v>
      </c>
      <c r="G9">
        <f t="shared" si="0"/>
        <v>13.8</v>
      </c>
    </row>
    <row r="10" spans="1:8" ht="15.75" thickBot="1" x14ac:dyDescent="0.3">
      <c r="A10" s="85">
        <v>5</v>
      </c>
      <c r="B10" s="82" t="s">
        <v>6</v>
      </c>
      <c r="C10" s="54">
        <v>2.5</v>
      </c>
      <c r="D10" s="54">
        <v>62.6</v>
      </c>
      <c r="E10" s="54">
        <v>34.9</v>
      </c>
      <c r="F10" s="25">
        <v>0</v>
      </c>
      <c r="G10">
        <f t="shared" si="0"/>
        <v>34.9</v>
      </c>
    </row>
    <row r="11" spans="1:8" ht="15.75" thickBot="1" x14ac:dyDescent="0.3">
      <c r="A11" s="85"/>
      <c r="B11" s="84"/>
      <c r="C11" s="55">
        <v>14.2</v>
      </c>
      <c r="D11" s="55">
        <v>57.8</v>
      </c>
      <c r="E11" s="55">
        <v>28</v>
      </c>
      <c r="F11" s="25">
        <v>0</v>
      </c>
      <c r="G11">
        <f t="shared" si="0"/>
        <v>28</v>
      </c>
    </row>
    <row r="12" spans="1:8" ht="15.75" thickBot="1" x14ac:dyDescent="0.3">
      <c r="A12" s="4">
        <v>6</v>
      </c>
      <c r="B12" s="11" t="s">
        <v>7</v>
      </c>
      <c r="C12" s="25">
        <v>39.9</v>
      </c>
      <c r="D12" s="25">
        <v>38.299999999999997</v>
      </c>
      <c r="E12" s="25">
        <v>21.8</v>
      </c>
      <c r="F12" s="25">
        <v>0</v>
      </c>
      <c r="G12">
        <f t="shared" si="0"/>
        <v>21.8</v>
      </c>
    </row>
    <row r="13" spans="1:8" ht="15.75" thickBot="1" x14ac:dyDescent="0.3">
      <c r="A13" s="4">
        <v>7</v>
      </c>
      <c r="B13" s="11" t="s">
        <v>8</v>
      </c>
      <c r="C13" s="25">
        <v>32.6</v>
      </c>
      <c r="D13" s="25">
        <v>52.9</v>
      </c>
      <c r="E13" s="25">
        <v>14.5</v>
      </c>
      <c r="F13" s="25">
        <v>0</v>
      </c>
      <c r="G13">
        <f t="shared" si="0"/>
        <v>14.5</v>
      </c>
    </row>
    <row r="14" spans="1:8" ht="15.75" thickBot="1" x14ac:dyDescent="0.3">
      <c r="A14" s="4">
        <v>8</v>
      </c>
      <c r="B14" s="11" t="s">
        <v>9</v>
      </c>
      <c r="C14" s="25">
        <v>40.4</v>
      </c>
      <c r="D14" s="25">
        <v>55.1</v>
      </c>
      <c r="E14" s="25">
        <v>4.5</v>
      </c>
      <c r="F14" s="25">
        <v>0</v>
      </c>
      <c r="G14">
        <f t="shared" si="0"/>
        <v>4.5</v>
      </c>
    </row>
    <row r="15" spans="1:8" ht="15.75" thickBot="1" x14ac:dyDescent="0.3">
      <c r="A15" s="4">
        <v>9</v>
      </c>
      <c r="B15" s="11" t="s">
        <v>10</v>
      </c>
      <c r="C15" s="25">
        <v>17.100000000000001</v>
      </c>
      <c r="D15" s="25">
        <v>49.2</v>
      </c>
      <c r="E15" s="25">
        <v>27.3</v>
      </c>
      <c r="F15" s="25">
        <v>6.4</v>
      </c>
      <c r="G15">
        <f t="shared" si="0"/>
        <v>33.700000000000003</v>
      </c>
    </row>
    <row r="16" spans="1:8" x14ac:dyDescent="0.25">
      <c r="A16" s="85">
        <v>10</v>
      </c>
      <c r="B16" s="82" t="s">
        <v>11</v>
      </c>
      <c r="C16" s="54">
        <v>24.4</v>
      </c>
      <c r="D16" s="54">
        <v>50.8</v>
      </c>
      <c r="E16" s="54">
        <v>24.8</v>
      </c>
      <c r="F16" s="54">
        <v>0</v>
      </c>
      <c r="G16">
        <f t="shared" si="0"/>
        <v>24.8</v>
      </c>
    </row>
    <row r="17" spans="1:7" x14ac:dyDescent="0.25">
      <c r="A17" s="85"/>
      <c r="B17" s="83"/>
      <c r="C17" s="24">
        <v>5.7</v>
      </c>
      <c r="D17" s="24">
        <v>34.299999999999997</v>
      </c>
      <c r="E17" s="24">
        <v>44.4</v>
      </c>
      <c r="F17" s="24">
        <v>15.6</v>
      </c>
      <c r="G17">
        <f t="shared" si="0"/>
        <v>60</v>
      </c>
    </row>
    <row r="18" spans="1:7" x14ac:dyDescent="0.25">
      <c r="A18" s="85"/>
      <c r="B18" s="83"/>
      <c r="C18" s="24">
        <v>8</v>
      </c>
      <c r="D18" s="24">
        <v>39.700000000000003</v>
      </c>
      <c r="E18" s="24">
        <v>40.299999999999997</v>
      </c>
      <c r="F18" s="24">
        <v>12</v>
      </c>
      <c r="G18">
        <f t="shared" si="0"/>
        <v>52.3</v>
      </c>
    </row>
    <row r="19" spans="1:7" x14ac:dyDescent="0.25">
      <c r="A19" s="85"/>
      <c r="B19" s="83"/>
      <c r="C19" s="24">
        <v>12</v>
      </c>
      <c r="D19" s="24">
        <v>53.7</v>
      </c>
      <c r="E19" s="24">
        <v>29.3</v>
      </c>
      <c r="F19" s="24">
        <v>5</v>
      </c>
      <c r="G19">
        <f t="shared" si="0"/>
        <v>34.299999999999997</v>
      </c>
    </row>
    <row r="20" spans="1:7" ht="15.75" thickBot="1" x14ac:dyDescent="0.3">
      <c r="A20" s="85"/>
      <c r="B20" s="84"/>
      <c r="C20" s="55">
        <v>14.7</v>
      </c>
      <c r="D20" s="55">
        <v>56.6</v>
      </c>
      <c r="E20" s="55">
        <v>23.7</v>
      </c>
      <c r="F20" s="55">
        <v>5</v>
      </c>
      <c r="G20">
        <f t="shared" si="0"/>
        <v>28.7</v>
      </c>
    </row>
    <row r="21" spans="1:7" x14ac:dyDescent="0.25">
      <c r="A21" s="85">
        <v>13</v>
      </c>
      <c r="B21" s="82" t="s">
        <v>13</v>
      </c>
      <c r="C21" s="54">
        <v>11.9</v>
      </c>
      <c r="D21" s="54">
        <v>48.8</v>
      </c>
      <c r="E21" s="54">
        <v>29.6</v>
      </c>
      <c r="F21" s="54">
        <v>9.6999999999999993</v>
      </c>
      <c r="G21">
        <f t="shared" si="0"/>
        <v>39.299999999999997</v>
      </c>
    </row>
    <row r="22" spans="1:7" ht="15.75" thickBot="1" x14ac:dyDescent="0.3">
      <c r="A22" s="85"/>
      <c r="B22" s="84"/>
      <c r="C22" s="55">
        <v>29.1</v>
      </c>
      <c r="D22" s="55">
        <v>55.8</v>
      </c>
      <c r="E22" s="55">
        <v>15.1</v>
      </c>
      <c r="F22" s="55">
        <v>0</v>
      </c>
      <c r="G22">
        <f t="shared" si="0"/>
        <v>15.1</v>
      </c>
    </row>
    <row r="23" spans="1:7" x14ac:dyDescent="0.25">
      <c r="A23" s="85">
        <v>14</v>
      </c>
      <c r="B23" s="82" t="s">
        <v>14</v>
      </c>
      <c r="C23" s="54">
        <v>13.4</v>
      </c>
      <c r="D23" s="54">
        <v>36.200000000000003</v>
      </c>
      <c r="E23" s="54">
        <v>38.700000000000003</v>
      </c>
      <c r="F23" s="54">
        <v>11.7</v>
      </c>
      <c r="G23">
        <f t="shared" si="0"/>
        <v>50.400000000000006</v>
      </c>
    </row>
    <row r="24" spans="1:7" ht="15.75" thickBot="1" x14ac:dyDescent="0.3">
      <c r="A24" s="85"/>
      <c r="B24" s="84"/>
      <c r="C24" s="55">
        <v>25.9</v>
      </c>
      <c r="D24" s="55">
        <v>56.4</v>
      </c>
      <c r="E24" s="55">
        <v>17.7</v>
      </c>
      <c r="F24" s="55">
        <v>0</v>
      </c>
      <c r="G24">
        <f t="shared" si="0"/>
        <v>17.7</v>
      </c>
    </row>
    <row r="25" spans="1:7" ht="15.75" thickBot="1" x14ac:dyDescent="0.3">
      <c r="A25" s="4">
        <v>15</v>
      </c>
      <c r="B25" s="11" t="s">
        <v>15</v>
      </c>
      <c r="C25" s="25">
        <v>13.8</v>
      </c>
      <c r="D25" s="25">
        <v>36.200000000000003</v>
      </c>
      <c r="E25" s="25">
        <v>38.299999999999997</v>
      </c>
      <c r="F25" s="25">
        <v>11.7</v>
      </c>
      <c r="G25">
        <f t="shared" si="0"/>
        <v>50</v>
      </c>
    </row>
    <row r="26" spans="1:7" ht="15.75" thickBot="1" x14ac:dyDescent="0.3">
      <c r="A26" s="4">
        <v>16</v>
      </c>
      <c r="B26" s="11" t="s">
        <v>16</v>
      </c>
      <c r="C26" s="25">
        <v>26.9</v>
      </c>
      <c r="D26" s="25">
        <v>47.6</v>
      </c>
      <c r="E26" s="25">
        <v>21.8</v>
      </c>
      <c r="F26" s="25">
        <v>3.7</v>
      </c>
      <c r="G26">
        <f t="shared" si="0"/>
        <v>25.5</v>
      </c>
    </row>
    <row r="27" spans="1:7" x14ac:dyDescent="0.25">
      <c r="A27" s="4">
        <v>17</v>
      </c>
      <c r="B27" s="12" t="s">
        <v>17</v>
      </c>
      <c r="C27" s="54">
        <v>43.6</v>
      </c>
      <c r="D27" s="54">
        <v>51.9</v>
      </c>
      <c r="E27" s="54">
        <v>4.5</v>
      </c>
      <c r="F27" s="54">
        <v>0</v>
      </c>
      <c r="G27">
        <f t="shared" si="0"/>
        <v>4.5</v>
      </c>
    </row>
    <row r="28" spans="1:7" ht="15.75" thickBot="1" x14ac:dyDescent="0.3">
      <c r="A28" s="4">
        <v>18</v>
      </c>
      <c r="B28" s="13" t="s">
        <v>17</v>
      </c>
      <c r="C28" s="55">
        <v>43.6</v>
      </c>
      <c r="D28" s="55">
        <v>51.9</v>
      </c>
      <c r="E28" s="55">
        <v>4.5</v>
      </c>
      <c r="F28" s="55">
        <v>0</v>
      </c>
      <c r="G28">
        <f t="shared" si="0"/>
        <v>4.5</v>
      </c>
    </row>
    <row r="29" spans="1:7" ht="15.75" thickBot="1" x14ac:dyDescent="0.3">
      <c r="A29" s="4">
        <v>19</v>
      </c>
      <c r="B29" s="11" t="s">
        <v>18</v>
      </c>
      <c r="C29" s="25">
        <v>4.8</v>
      </c>
      <c r="D29" s="25">
        <v>27.1</v>
      </c>
      <c r="E29" s="25">
        <v>54</v>
      </c>
      <c r="F29" s="25">
        <v>14.1</v>
      </c>
      <c r="G29">
        <f t="shared" si="0"/>
        <v>68.099999999999994</v>
      </c>
    </row>
    <row r="30" spans="1:7" x14ac:dyDescent="0.25">
      <c r="A30" s="85">
        <v>20</v>
      </c>
      <c r="B30" s="82" t="s">
        <v>19</v>
      </c>
      <c r="C30" s="54">
        <v>25.8</v>
      </c>
      <c r="D30" s="54">
        <v>39.4</v>
      </c>
      <c r="E30" s="54">
        <v>28.4</v>
      </c>
      <c r="F30" s="54">
        <v>6.4</v>
      </c>
      <c r="G30">
        <f t="shared" si="0"/>
        <v>34.799999999999997</v>
      </c>
    </row>
    <row r="31" spans="1:7" ht="15.75" thickBot="1" x14ac:dyDescent="0.3">
      <c r="A31" s="85"/>
      <c r="B31" s="84"/>
      <c r="C31" s="55">
        <v>41.1</v>
      </c>
      <c r="D31" s="55">
        <v>46.1</v>
      </c>
      <c r="E31" s="55">
        <v>12.8</v>
      </c>
      <c r="F31" s="55">
        <v>0</v>
      </c>
      <c r="G31">
        <f t="shared" si="0"/>
        <v>12.8</v>
      </c>
    </row>
    <row r="32" spans="1:7" x14ac:dyDescent="0.25">
      <c r="A32" s="85">
        <v>21</v>
      </c>
      <c r="B32" s="82" t="s">
        <v>20</v>
      </c>
      <c r="C32" s="54">
        <v>28</v>
      </c>
      <c r="D32" s="54">
        <v>45.7</v>
      </c>
      <c r="E32" s="54">
        <v>19.899999999999999</v>
      </c>
      <c r="F32" s="54">
        <v>6.4</v>
      </c>
      <c r="G32">
        <f t="shared" si="0"/>
        <v>26.299999999999997</v>
      </c>
    </row>
    <row r="33" spans="1:7" ht="15.75" thickBot="1" x14ac:dyDescent="0.3">
      <c r="A33" s="85"/>
      <c r="B33" s="84"/>
      <c r="C33" s="55">
        <v>38.5</v>
      </c>
      <c r="D33" s="55">
        <v>42.1</v>
      </c>
      <c r="E33" s="55">
        <v>19.399999999999999</v>
      </c>
      <c r="F33" s="55">
        <v>0</v>
      </c>
      <c r="G33">
        <f t="shared" si="0"/>
        <v>19.399999999999999</v>
      </c>
    </row>
    <row r="34" spans="1:7" x14ac:dyDescent="0.25">
      <c r="A34" s="85">
        <v>22</v>
      </c>
      <c r="B34" s="82" t="s">
        <v>21</v>
      </c>
      <c r="C34" s="54">
        <v>19.8</v>
      </c>
      <c r="D34" s="54">
        <v>43.1</v>
      </c>
      <c r="E34" s="54">
        <v>29.8</v>
      </c>
      <c r="F34" s="54">
        <v>7.3</v>
      </c>
      <c r="G34">
        <f t="shared" si="0"/>
        <v>37.1</v>
      </c>
    </row>
    <row r="35" spans="1:7" ht="15.75" thickBot="1" x14ac:dyDescent="0.3">
      <c r="A35" s="85"/>
      <c r="B35" s="84"/>
      <c r="C35" s="55">
        <v>35.6</v>
      </c>
      <c r="D35" s="55">
        <v>37.1</v>
      </c>
      <c r="E35" s="55">
        <v>27.3</v>
      </c>
      <c r="F35" s="55">
        <v>0</v>
      </c>
      <c r="G35">
        <f t="shared" si="0"/>
        <v>27.3</v>
      </c>
    </row>
    <row r="36" spans="1:7" x14ac:dyDescent="0.25">
      <c r="A36" s="85">
        <v>23</v>
      </c>
      <c r="B36" s="82" t="s">
        <v>22</v>
      </c>
      <c r="C36" s="54">
        <v>18.600000000000001</v>
      </c>
      <c r="D36" s="54">
        <v>59.2</v>
      </c>
      <c r="E36" s="54">
        <v>18.2</v>
      </c>
      <c r="F36" s="54">
        <v>4</v>
      </c>
      <c r="G36">
        <f t="shared" si="0"/>
        <v>22.2</v>
      </c>
    </row>
    <row r="37" spans="1:7" x14ac:dyDescent="0.25">
      <c r="A37" s="85"/>
      <c r="B37" s="83"/>
      <c r="C37" s="24">
        <v>32.9</v>
      </c>
      <c r="D37" s="24">
        <v>56.2</v>
      </c>
      <c r="E37" s="24">
        <v>10.9</v>
      </c>
      <c r="F37" s="24">
        <v>0</v>
      </c>
      <c r="G37">
        <f t="shared" si="0"/>
        <v>10.9</v>
      </c>
    </row>
    <row r="38" spans="1:7" ht="15.75" thickBot="1" x14ac:dyDescent="0.3">
      <c r="A38" s="85"/>
      <c r="B38" s="84"/>
      <c r="C38" s="55">
        <v>29.5</v>
      </c>
      <c r="D38" s="55">
        <v>40.700000000000003</v>
      </c>
      <c r="E38" s="55">
        <v>24.4</v>
      </c>
      <c r="F38" s="55">
        <v>5.4</v>
      </c>
      <c r="G38">
        <f t="shared" si="0"/>
        <v>29.799999999999997</v>
      </c>
    </row>
    <row r="39" spans="1:7" ht="15.75" thickBot="1" x14ac:dyDescent="0.3">
      <c r="A39" s="4">
        <v>24</v>
      </c>
      <c r="B39" s="11" t="s">
        <v>23</v>
      </c>
      <c r="C39" s="25">
        <v>27.2</v>
      </c>
      <c r="D39" s="25">
        <v>35.4</v>
      </c>
      <c r="E39" s="25">
        <v>29.8</v>
      </c>
      <c r="F39" s="25">
        <v>7.6</v>
      </c>
      <c r="G39">
        <f t="shared" si="0"/>
        <v>37.4</v>
      </c>
    </row>
    <row r="40" spans="1:7" x14ac:dyDescent="0.25">
      <c r="A40" s="85">
        <v>27</v>
      </c>
      <c r="B40" s="82" t="s">
        <v>24</v>
      </c>
      <c r="C40" s="54">
        <v>25.9</v>
      </c>
      <c r="D40" s="54">
        <v>42.2</v>
      </c>
      <c r="E40" s="54">
        <v>28.4</v>
      </c>
      <c r="F40" s="54">
        <v>3.5</v>
      </c>
      <c r="G40">
        <f t="shared" si="0"/>
        <v>31.9</v>
      </c>
    </row>
    <row r="41" spans="1:7" ht="15.75" thickBot="1" x14ac:dyDescent="0.3">
      <c r="A41" s="85"/>
      <c r="B41" s="84"/>
      <c r="C41" s="55">
        <v>47</v>
      </c>
      <c r="D41" s="55">
        <v>34.1</v>
      </c>
      <c r="E41" s="55">
        <v>18.899999999999999</v>
      </c>
      <c r="F41" s="55">
        <v>0</v>
      </c>
      <c r="G41">
        <f t="shared" si="0"/>
        <v>18.899999999999999</v>
      </c>
    </row>
    <row r="42" spans="1:7" ht="15.75" thickBot="1" x14ac:dyDescent="0.3">
      <c r="A42" s="4">
        <v>30</v>
      </c>
      <c r="B42" s="14" t="s">
        <v>26</v>
      </c>
      <c r="C42" s="26">
        <v>12.2</v>
      </c>
      <c r="D42" s="26">
        <v>39.9</v>
      </c>
      <c r="E42" s="26">
        <v>39.799999999999997</v>
      </c>
      <c r="F42" s="26">
        <v>8.1</v>
      </c>
      <c r="G42">
        <f t="shared" si="0"/>
        <v>47.9</v>
      </c>
    </row>
    <row r="43" spans="1:7" x14ac:dyDescent="0.25">
      <c r="A43" s="85">
        <v>31</v>
      </c>
      <c r="B43" s="79" t="s">
        <v>27</v>
      </c>
      <c r="C43" s="27">
        <v>31.8</v>
      </c>
      <c r="D43" s="27">
        <v>54</v>
      </c>
      <c r="E43" s="27">
        <v>14.2</v>
      </c>
      <c r="F43" s="27">
        <v>0</v>
      </c>
      <c r="G43">
        <f t="shared" si="0"/>
        <v>14.2</v>
      </c>
    </row>
    <row r="44" spans="1:7" ht="15.75" thickBot="1" x14ac:dyDescent="0.3">
      <c r="A44" s="85"/>
      <c r="B44" s="80"/>
      <c r="C44" s="28">
        <v>40.799999999999997</v>
      </c>
      <c r="D44" s="28">
        <v>50.3</v>
      </c>
      <c r="E44" s="28">
        <v>8.9</v>
      </c>
      <c r="F44" s="28">
        <v>0</v>
      </c>
      <c r="G44">
        <f t="shared" si="0"/>
        <v>8.9</v>
      </c>
    </row>
    <row r="45" spans="1:7" x14ac:dyDescent="0.25">
      <c r="A45" s="85">
        <v>32</v>
      </c>
      <c r="B45" s="79" t="s">
        <v>28</v>
      </c>
      <c r="C45" s="27">
        <v>27.7</v>
      </c>
      <c r="D45" s="27">
        <v>41.6</v>
      </c>
      <c r="E45" s="27">
        <v>28.4</v>
      </c>
      <c r="F45" s="27">
        <v>2.2999999999999998</v>
      </c>
      <c r="G45">
        <f t="shared" si="0"/>
        <v>30.7</v>
      </c>
    </row>
    <row r="46" spans="1:7" ht="15.75" thickBot="1" x14ac:dyDescent="0.3">
      <c r="A46" s="85"/>
      <c r="B46" s="80"/>
      <c r="C46" s="28">
        <v>37.299999999999997</v>
      </c>
      <c r="D46" s="28">
        <v>54</v>
      </c>
      <c r="E46" s="28">
        <v>8.6999999999999993</v>
      </c>
      <c r="F46" s="28">
        <v>0</v>
      </c>
      <c r="G46">
        <f t="shared" si="0"/>
        <v>8.6999999999999993</v>
      </c>
    </row>
    <row r="47" spans="1:7" x14ac:dyDescent="0.25">
      <c r="A47" s="85">
        <v>33</v>
      </c>
      <c r="B47" s="79" t="s">
        <v>29</v>
      </c>
      <c r="C47" s="27">
        <v>29.5</v>
      </c>
      <c r="D47" s="27">
        <v>32.4</v>
      </c>
      <c r="E47" s="27">
        <v>31.9</v>
      </c>
      <c r="F47" s="27">
        <v>6.2</v>
      </c>
      <c r="G47">
        <f t="shared" si="0"/>
        <v>38.1</v>
      </c>
    </row>
    <row r="48" spans="1:7" ht="15.75" thickBot="1" x14ac:dyDescent="0.3">
      <c r="A48" s="85"/>
      <c r="B48" s="80"/>
      <c r="C48" s="28">
        <v>23.7</v>
      </c>
      <c r="D48" s="28">
        <v>47.2</v>
      </c>
      <c r="E48" s="28">
        <v>29.1</v>
      </c>
      <c r="F48" s="28">
        <v>0</v>
      </c>
      <c r="G48">
        <f t="shared" si="0"/>
        <v>29.1</v>
      </c>
    </row>
    <row r="49" spans="1:7" ht="15.75" thickBot="1" x14ac:dyDescent="0.3">
      <c r="A49" s="4">
        <v>34</v>
      </c>
      <c r="B49" s="14" t="s">
        <v>30</v>
      </c>
      <c r="C49" s="26">
        <v>26.2</v>
      </c>
      <c r="D49" s="26">
        <v>62.7</v>
      </c>
      <c r="E49" s="26">
        <v>11.1</v>
      </c>
      <c r="F49" s="26">
        <v>0</v>
      </c>
      <c r="G49">
        <f t="shared" si="0"/>
        <v>11.1</v>
      </c>
    </row>
    <row r="50" spans="1:7" x14ac:dyDescent="0.25">
      <c r="A50" s="85">
        <v>35</v>
      </c>
      <c r="B50" s="79" t="s">
        <v>31</v>
      </c>
      <c r="C50" s="27">
        <v>24.7</v>
      </c>
      <c r="D50" s="27">
        <v>46.9</v>
      </c>
      <c r="E50" s="27">
        <v>21.2</v>
      </c>
      <c r="F50" s="27">
        <v>7.2</v>
      </c>
      <c r="G50">
        <f t="shared" si="0"/>
        <v>28.4</v>
      </c>
    </row>
    <row r="51" spans="1:7" ht="15.75" thickBot="1" x14ac:dyDescent="0.3">
      <c r="A51" s="85"/>
      <c r="B51" s="80"/>
      <c r="C51" s="28">
        <v>27.8</v>
      </c>
      <c r="D51" s="28">
        <v>44</v>
      </c>
      <c r="E51" s="28">
        <v>24.3</v>
      </c>
      <c r="F51" s="28">
        <v>3.9</v>
      </c>
      <c r="G51">
        <f t="shared" si="0"/>
        <v>28.2</v>
      </c>
    </row>
    <row r="52" spans="1:7" ht="15.75" thickBot="1" x14ac:dyDescent="0.3">
      <c r="A52" s="4">
        <v>36</v>
      </c>
      <c r="B52" s="14" t="s">
        <v>32</v>
      </c>
      <c r="C52" s="26">
        <v>37.200000000000003</v>
      </c>
      <c r="D52" s="26">
        <v>28.4</v>
      </c>
      <c r="E52" s="26">
        <v>26</v>
      </c>
      <c r="F52" s="26">
        <v>8.4</v>
      </c>
      <c r="G52">
        <f t="shared" si="0"/>
        <v>34.4</v>
      </c>
    </row>
    <row r="53" spans="1:7" x14ac:dyDescent="0.25">
      <c r="A53" s="85">
        <v>37</v>
      </c>
      <c r="B53" s="79" t="s">
        <v>33</v>
      </c>
      <c r="C53" s="27">
        <v>38.1</v>
      </c>
      <c r="D53" s="27">
        <v>45.5</v>
      </c>
      <c r="E53" s="27">
        <v>16.399999999999999</v>
      </c>
      <c r="F53" s="27">
        <v>0</v>
      </c>
      <c r="G53">
        <f t="shared" si="0"/>
        <v>16.399999999999999</v>
      </c>
    </row>
    <row r="54" spans="1:7" ht="15.75" thickBot="1" x14ac:dyDescent="0.3">
      <c r="A54" s="85"/>
      <c r="B54" s="80"/>
      <c r="C54" s="28">
        <v>43.2</v>
      </c>
      <c r="D54" s="28">
        <v>43.2</v>
      </c>
      <c r="E54" s="28">
        <v>13.6</v>
      </c>
      <c r="F54" s="28">
        <v>0</v>
      </c>
      <c r="G54">
        <f t="shared" si="0"/>
        <v>13.6</v>
      </c>
    </row>
    <row r="55" spans="1:7" x14ac:dyDescent="0.25">
      <c r="A55" s="85">
        <v>38</v>
      </c>
      <c r="B55" s="79" t="s">
        <v>34</v>
      </c>
      <c r="C55" s="27">
        <v>23.6</v>
      </c>
      <c r="D55" s="27">
        <v>51</v>
      </c>
      <c r="E55" s="27">
        <v>20.5</v>
      </c>
      <c r="F55" s="27">
        <v>4.9000000000000004</v>
      </c>
      <c r="G55">
        <f t="shared" si="0"/>
        <v>25.4</v>
      </c>
    </row>
    <row r="56" spans="1:7" x14ac:dyDescent="0.25">
      <c r="A56" s="85"/>
      <c r="B56" s="81"/>
      <c r="C56" s="29">
        <v>9</v>
      </c>
      <c r="D56" s="29">
        <v>86.4</v>
      </c>
      <c r="E56" s="29">
        <v>4.5999999999999996</v>
      </c>
      <c r="F56" s="29">
        <v>0</v>
      </c>
      <c r="G56">
        <f t="shared" si="0"/>
        <v>4.5999999999999996</v>
      </c>
    </row>
    <row r="57" spans="1:7" ht="15.75" thickBot="1" x14ac:dyDescent="0.3">
      <c r="A57" s="85"/>
      <c r="B57" s="80"/>
      <c r="C57" s="28">
        <v>35.299999999999997</v>
      </c>
      <c r="D57" s="28">
        <v>56.6</v>
      </c>
      <c r="E57" s="28">
        <v>8.1</v>
      </c>
      <c r="F57" s="28">
        <v>0</v>
      </c>
      <c r="G57">
        <f t="shared" si="0"/>
        <v>8.1</v>
      </c>
    </row>
    <row r="58" spans="1:7" ht="15.75" thickBot="1" x14ac:dyDescent="0.3">
      <c r="A58" s="4">
        <v>39</v>
      </c>
      <c r="B58" s="14" t="s">
        <v>35</v>
      </c>
      <c r="C58" s="26">
        <v>42.7</v>
      </c>
      <c r="D58" s="26">
        <v>41.8</v>
      </c>
      <c r="E58" s="26">
        <v>15.5</v>
      </c>
      <c r="F58" s="26">
        <v>0</v>
      </c>
      <c r="G58">
        <f t="shared" si="0"/>
        <v>15.5</v>
      </c>
    </row>
    <row r="59" spans="1:7" ht="15.75" thickBot="1" x14ac:dyDescent="0.3">
      <c r="A59" s="4">
        <v>40</v>
      </c>
      <c r="B59" s="14" t="s">
        <v>36</v>
      </c>
      <c r="C59" s="26">
        <v>37.200000000000003</v>
      </c>
      <c r="D59" s="26">
        <v>25.2</v>
      </c>
      <c r="E59" s="26">
        <v>30.7</v>
      </c>
      <c r="F59" s="26">
        <v>6.9</v>
      </c>
      <c r="G59">
        <f t="shared" si="0"/>
        <v>37.6</v>
      </c>
    </row>
    <row r="60" spans="1:7" ht="15.75" thickBot="1" x14ac:dyDescent="0.3">
      <c r="A60" s="4">
        <v>42</v>
      </c>
      <c r="B60" s="14" t="s">
        <v>37</v>
      </c>
      <c r="C60" s="26">
        <v>24.1</v>
      </c>
      <c r="D60" s="26">
        <v>62.9</v>
      </c>
      <c r="E60" s="26">
        <v>13</v>
      </c>
      <c r="F60" s="26">
        <v>0</v>
      </c>
      <c r="G60">
        <f t="shared" si="0"/>
        <v>13</v>
      </c>
    </row>
    <row r="61" spans="1:7" x14ac:dyDescent="0.25">
      <c r="A61" s="85">
        <v>43</v>
      </c>
      <c r="B61" s="79" t="s">
        <v>38</v>
      </c>
      <c r="C61" s="27">
        <v>7.1</v>
      </c>
      <c r="D61" s="27">
        <v>52.9</v>
      </c>
      <c r="E61" s="27">
        <v>28.5</v>
      </c>
      <c r="F61" s="27">
        <v>11.5</v>
      </c>
      <c r="G61">
        <f t="shared" si="0"/>
        <v>40</v>
      </c>
    </row>
    <row r="62" spans="1:7" x14ac:dyDescent="0.25">
      <c r="A62" s="85"/>
      <c r="B62" s="81"/>
      <c r="C62" s="29">
        <v>8.1</v>
      </c>
      <c r="D62" s="29">
        <v>45.4</v>
      </c>
      <c r="E62" s="29">
        <v>35.799999999999997</v>
      </c>
      <c r="F62" s="29">
        <v>10.7</v>
      </c>
      <c r="G62">
        <f t="shared" si="0"/>
        <v>46.5</v>
      </c>
    </row>
    <row r="63" spans="1:7" ht="15.75" thickBot="1" x14ac:dyDescent="0.3">
      <c r="A63" s="85"/>
      <c r="B63" s="80"/>
      <c r="C63" s="28">
        <v>18.5</v>
      </c>
      <c r="D63" s="28">
        <v>41.7</v>
      </c>
      <c r="E63" s="28">
        <v>30.7</v>
      </c>
      <c r="F63" s="28">
        <v>9.1</v>
      </c>
      <c r="G63">
        <f t="shared" si="0"/>
        <v>39.799999999999997</v>
      </c>
    </row>
    <row r="64" spans="1:7" ht="15.75" thickBot="1" x14ac:dyDescent="0.3">
      <c r="A64" s="4">
        <v>44</v>
      </c>
      <c r="B64" s="14" t="s">
        <v>39</v>
      </c>
      <c r="C64" s="26">
        <v>40.299999999999997</v>
      </c>
      <c r="D64" s="26">
        <v>39.5</v>
      </c>
      <c r="E64" s="26">
        <v>20.2</v>
      </c>
      <c r="F64" s="26">
        <v>0</v>
      </c>
      <c r="G64">
        <f t="shared" si="0"/>
        <v>20.2</v>
      </c>
    </row>
    <row r="65" spans="1:7" ht="15.75" thickBot="1" x14ac:dyDescent="0.3">
      <c r="A65" s="4">
        <v>45</v>
      </c>
      <c r="B65" s="14" t="s">
        <v>40</v>
      </c>
      <c r="C65" s="26">
        <v>29</v>
      </c>
      <c r="D65" s="26">
        <v>57.9</v>
      </c>
      <c r="E65" s="26">
        <v>13.1</v>
      </c>
      <c r="F65" s="26">
        <v>0</v>
      </c>
      <c r="G65">
        <f t="shared" si="0"/>
        <v>13.1</v>
      </c>
    </row>
    <row r="66" spans="1:7" x14ac:dyDescent="0.25">
      <c r="A66" s="85">
        <v>46</v>
      </c>
      <c r="B66" s="79" t="s">
        <v>41</v>
      </c>
      <c r="C66" s="27">
        <v>15.8</v>
      </c>
      <c r="D66" s="27">
        <v>39.9</v>
      </c>
      <c r="E66" s="27">
        <v>34.5</v>
      </c>
      <c r="F66" s="27">
        <v>9.8000000000000007</v>
      </c>
      <c r="G66">
        <f t="shared" si="0"/>
        <v>44.3</v>
      </c>
    </row>
    <row r="67" spans="1:7" ht="15.75" thickBot="1" x14ac:dyDescent="0.3">
      <c r="A67" s="85"/>
      <c r="B67" s="80"/>
      <c r="C67" s="28">
        <v>26.5</v>
      </c>
      <c r="D67" s="28">
        <v>38.5</v>
      </c>
      <c r="E67" s="28">
        <v>29</v>
      </c>
      <c r="F67" s="28">
        <v>6</v>
      </c>
      <c r="G67">
        <f t="shared" ref="G67:G130" si="1">E67+F67</f>
        <v>35</v>
      </c>
    </row>
    <row r="68" spans="1:7" ht="15.75" thickBot="1" x14ac:dyDescent="0.3">
      <c r="A68" s="4">
        <v>47</v>
      </c>
      <c r="B68" s="14" t="s">
        <v>42</v>
      </c>
      <c r="C68" s="26">
        <v>24.1</v>
      </c>
      <c r="D68" s="26">
        <v>51.3</v>
      </c>
      <c r="E68" s="26">
        <v>24.6</v>
      </c>
      <c r="F68" s="26">
        <v>0</v>
      </c>
      <c r="G68">
        <f t="shared" si="1"/>
        <v>24.6</v>
      </c>
    </row>
    <row r="69" spans="1:7" x14ac:dyDescent="0.25">
      <c r="A69" s="85">
        <v>49</v>
      </c>
      <c r="B69" s="79" t="s">
        <v>44</v>
      </c>
      <c r="C69" s="27">
        <v>3.1</v>
      </c>
      <c r="D69" s="27">
        <v>38.5</v>
      </c>
      <c r="E69" s="27">
        <v>53.6</v>
      </c>
      <c r="F69" s="27">
        <v>4.8</v>
      </c>
      <c r="G69">
        <f t="shared" si="1"/>
        <v>58.4</v>
      </c>
    </row>
    <row r="70" spans="1:7" ht="15.75" thickBot="1" x14ac:dyDescent="0.3">
      <c r="A70" s="85"/>
      <c r="B70" s="80"/>
      <c r="C70" s="28">
        <v>18.2</v>
      </c>
      <c r="D70" s="28">
        <v>56.8</v>
      </c>
      <c r="E70" s="28">
        <v>25</v>
      </c>
      <c r="F70" s="28">
        <v>0</v>
      </c>
      <c r="G70">
        <f t="shared" si="1"/>
        <v>25</v>
      </c>
    </row>
    <row r="71" spans="1:7" x14ac:dyDescent="0.25">
      <c r="A71" s="85">
        <v>50</v>
      </c>
      <c r="B71" s="79" t="s">
        <v>45</v>
      </c>
      <c r="C71" s="27">
        <v>3.8</v>
      </c>
      <c r="D71" s="27">
        <v>32.200000000000003</v>
      </c>
      <c r="E71" s="27">
        <v>58.4</v>
      </c>
      <c r="F71" s="27">
        <v>5.6</v>
      </c>
      <c r="G71">
        <f t="shared" si="1"/>
        <v>64</v>
      </c>
    </row>
    <row r="72" spans="1:7" ht="15.75" thickBot="1" x14ac:dyDescent="0.3">
      <c r="A72" s="85"/>
      <c r="B72" s="80"/>
      <c r="C72" s="28">
        <v>30.3</v>
      </c>
      <c r="D72" s="28">
        <v>49.5</v>
      </c>
      <c r="E72" s="28">
        <v>20.2</v>
      </c>
      <c r="F72" s="28">
        <v>0</v>
      </c>
      <c r="G72">
        <f t="shared" si="1"/>
        <v>20.2</v>
      </c>
    </row>
    <row r="73" spans="1:7" ht="15.75" thickBot="1" x14ac:dyDescent="0.3">
      <c r="A73" s="85">
        <v>51</v>
      </c>
      <c r="B73" s="79" t="s">
        <v>46</v>
      </c>
      <c r="C73" s="27">
        <v>39.200000000000003</v>
      </c>
      <c r="D73" s="27">
        <v>52.7</v>
      </c>
      <c r="E73" s="27">
        <v>8.1</v>
      </c>
      <c r="F73" s="28">
        <v>0</v>
      </c>
      <c r="G73">
        <f t="shared" si="1"/>
        <v>8.1</v>
      </c>
    </row>
    <row r="74" spans="1:7" ht="15.75" thickBot="1" x14ac:dyDescent="0.3">
      <c r="A74" s="85"/>
      <c r="B74" s="81"/>
      <c r="C74" s="29">
        <v>40.1</v>
      </c>
      <c r="D74" s="29">
        <v>47.9</v>
      </c>
      <c r="E74" s="29">
        <v>12</v>
      </c>
      <c r="F74" s="28">
        <v>0</v>
      </c>
      <c r="G74">
        <f t="shared" si="1"/>
        <v>12</v>
      </c>
    </row>
    <row r="75" spans="1:7" ht="15.75" thickBot="1" x14ac:dyDescent="0.3">
      <c r="A75" s="85"/>
      <c r="B75" s="80"/>
      <c r="C75" s="28">
        <v>43.3</v>
      </c>
      <c r="D75" s="28">
        <v>21.6</v>
      </c>
      <c r="E75" s="28">
        <v>35.1</v>
      </c>
      <c r="F75" s="28">
        <v>0</v>
      </c>
      <c r="G75">
        <f t="shared" si="1"/>
        <v>35.1</v>
      </c>
    </row>
    <row r="76" spans="1:7" ht="15.75" thickBot="1" x14ac:dyDescent="0.3">
      <c r="A76" s="4">
        <v>54</v>
      </c>
      <c r="B76" s="14" t="s">
        <v>47</v>
      </c>
      <c r="C76" s="26">
        <v>16.3</v>
      </c>
      <c r="D76" s="26">
        <v>62.1</v>
      </c>
      <c r="E76" s="26">
        <v>21.6</v>
      </c>
      <c r="F76" s="28">
        <v>0</v>
      </c>
      <c r="G76">
        <f t="shared" si="1"/>
        <v>21.6</v>
      </c>
    </row>
    <row r="77" spans="1:7" ht="15.75" thickBot="1" x14ac:dyDescent="0.3">
      <c r="A77" s="4">
        <v>55</v>
      </c>
      <c r="B77" s="14" t="s">
        <v>48</v>
      </c>
      <c r="C77" s="26">
        <v>21.3</v>
      </c>
      <c r="D77" s="26">
        <v>62</v>
      </c>
      <c r="E77" s="26">
        <v>16.7</v>
      </c>
      <c r="F77" s="28">
        <v>0</v>
      </c>
      <c r="G77">
        <f t="shared" si="1"/>
        <v>16.7</v>
      </c>
    </row>
    <row r="78" spans="1:7" ht="15.75" thickBot="1" x14ac:dyDescent="0.3">
      <c r="A78" s="4">
        <v>56</v>
      </c>
      <c r="B78" s="14" t="s">
        <v>49</v>
      </c>
      <c r="C78" s="26">
        <v>24.9</v>
      </c>
      <c r="D78" s="26">
        <v>53.1</v>
      </c>
      <c r="E78" s="26">
        <v>22</v>
      </c>
      <c r="F78" s="28">
        <v>0</v>
      </c>
      <c r="G78">
        <f t="shared" si="1"/>
        <v>22</v>
      </c>
    </row>
    <row r="79" spans="1:7" ht="15.75" thickBot="1" x14ac:dyDescent="0.3">
      <c r="A79" s="4">
        <v>57</v>
      </c>
      <c r="B79" s="14" t="s">
        <v>50</v>
      </c>
      <c r="C79" s="26">
        <v>37.9</v>
      </c>
      <c r="D79" s="26">
        <v>49.2</v>
      </c>
      <c r="E79" s="26">
        <v>12.9</v>
      </c>
      <c r="F79" s="28">
        <v>0</v>
      </c>
      <c r="G79">
        <f t="shared" si="1"/>
        <v>12.9</v>
      </c>
    </row>
    <row r="80" spans="1:7" ht="15.75" thickBot="1" x14ac:dyDescent="0.3">
      <c r="A80" s="4">
        <v>58</v>
      </c>
      <c r="B80" s="14" t="s">
        <v>51</v>
      </c>
      <c r="C80" s="26">
        <v>36.6</v>
      </c>
      <c r="D80" s="26">
        <v>52.8</v>
      </c>
      <c r="E80" s="26">
        <v>10.6</v>
      </c>
      <c r="F80" s="28">
        <v>0</v>
      </c>
      <c r="G80">
        <f t="shared" si="1"/>
        <v>10.6</v>
      </c>
    </row>
    <row r="81" spans="1:7" ht="15.75" thickBot="1" x14ac:dyDescent="0.3">
      <c r="A81" s="4">
        <v>59</v>
      </c>
      <c r="B81" s="14" t="s">
        <v>52</v>
      </c>
      <c r="C81" s="26">
        <v>42.2</v>
      </c>
      <c r="D81" s="26">
        <v>55.6</v>
      </c>
      <c r="E81" s="26">
        <v>2.2000000000000002</v>
      </c>
      <c r="F81" s="28">
        <v>0</v>
      </c>
      <c r="G81">
        <f t="shared" si="1"/>
        <v>2.2000000000000002</v>
      </c>
    </row>
    <row r="82" spans="1:7" ht="15.75" thickBot="1" x14ac:dyDescent="0.3">
      <c r="A82" s="4">
        <v>60</v>
      </c>
      <c r="B82" s="14" t="s">
        <v>53</v>
      </c>
      <c r="C82" s="26">
        <v>18.899999999999999</v>
      </c>
      <c r="D82" s="26">
        <v>42.8</v>
      </c>
      <c r="E82" s="26">
        <v>38.299999999999997</v>
      </c>
      <c r="F82" s="28">
        <v>0</v>
      </c>
      <c r="G82">
        <f t="shared" si="1"/>
        <v>38.299999999999997</v>
      </c>
    </row>
    <row r="83" spans="1:7" ht="15.75" thickBot="1" x14ac:dyDescent="0.3">
      <c r="A83" s="4">
        <v>62</v>
      </c>
      <c r="B83" s="14" t="s">
        <v>54</v>
      </c>
      <c r="C83" s="26">
        <v>40.200000000000003</v>
      </c>
      <c r="D83" s="26">
        <v>39.5</v>
      </c>
      <c r="E83" s="26">
        <v>20.3</v>
      </c>
      <c r="F83" s="28">
        <v>0</v>
      </c>
      <c r="G83">
        <f t="shared" si="1"/>
        <v>20.3</v>
      </c>
    </row>
    <row r="84" spans="1:7" ht="15.75" thickBot="1" x14ac:dyDescent="0.3">
      <c r="A84" s="4">
        <v>63</v>
      </c>
      <c r="B84" s="14" t="s">
        <v>55</v>
      </c>
      <c r="C84" s="26">
        <v>37.200000000000003</v>
      </c>
      <c r="D84" s="26">
        <v>48.2</v>
      </c>
      <c r="E84" s="26">
        <v>14.6</v>
      </c>
      <c r="F84" s="28">
        <v>0</v>
      </c>
      <c r="G84">
        <f t="shared" si="1"/>
        <v>14.6</v>
      </c>
    </row>
    <row r="85" spans="1:7" x14ac:dyDescent="0.25">
      <c r="A85" s="85">
        <v>64</v>
      </c>
      <c r="B85" s="79" t="s">
        <v>56</v>
      </c>
      <c r="C85" s="27">
        <v>21.4</v>
      </c>
      <c r="D85" s="27">
        <v>33.799999999999997</v>
      </c>
      <c r="E85" s="27">
        <v>39.799999999999997</v>
      </c>
      <c r="F85" s="27">
        <v>5</v>
      </c>
      <c r="G85">
        <f t="shared" si="1"/>
        <v>44.8</v>
      </c>
    </row>
    <row r="86" spans="1:7" ht="15.75" thickBot="1" x14ac:dyDescent="0.3">
      <c r="A86" s="85"/>
      <c r="B86" s="80"/>
      <c r="C86" s="28">
        <v>28.3</v>
      </c>
      <c r="D86" s="28">
        <v>39.4</v>
      </c>
      <c r="E86" s="28">
        <v>28</v>
      </c>
      <c r="F86" s="28">
        <v>4.3</v>
      </c>
      <c r="G86">
        <f t="shared" si="1"/>
        <v>32.299999999999997</v>
      </c>
    </row>
    <row r="87" spans="1:7" x14ac:dyDescent="0.25">
      <c r="A87" s="85">
        <v>65</v>
      </c>
      <c r="B87" s="79" t="s">
        <v>57</v>
      </c>
      <c r="C87" s="27">
        <v>28.2</v>
      </c>
      <c r="D87" s="27">
        <v>41.8</v>
      </c>
      <c r="E87" s="27">
        <v>30</v>
      </c>
      <c r="F87" s="27">
        <v>0</v>
      </c>
      <c r="G87">
        <f t="shared" si="1"/>
        <v>30</v>
      </c>
    </row>
    <row r="88" spans="1:7" ht="15.75" thickBot="1" x14ac:dyDescent="0.3">
      <c r="A88" s="85"/>
      <c r="B88" s="80"/>
      <c r="C88" s="28">
        <v>26.2</v>
      </c>
      <c r="D88" s="28">
        <v>34</v>
      </c>
      <c r="E88" s="28">
        <v>36.5</v>
      </c>
      <c r="F88" s="28">
        <v>3.3</v>
      </c>
      <c r="G88">
        <f t="shared" si="1"/>
        <v>39.799999999999997</v>
      </c>
    </row>
    <row r="89" spans="1:7" ht="15.75" thickBot="1" x14ac:dyDescent="0.3">
      <c r="A89" s="4">
        <v>66</v>
      </c>
      <c r="B89" s="14" t="s">
        <v>58</v>
      </c>
      <c r="C89" s="26">
        <v>35</v>
      </c>
      <c r="D89" s="26">
        <v>53</v>
      </c>
      <c r="E89" s="26">
        <v>12</v>
      </c>
      <c r="F89" s="26">
        <v>0</v>
      </c>
      <c r="G89">
        <f t="shared" si="1"/>
        <v>12</v>
      </c>
    </row>
    <row r="90" spans="1:7" ht="15.75" thickBot="1" x14ac:dyDescent="0.3">
      <c r="A90" s="4">
        <v>67</v>
      </c>
      <c r="B90" s="14" t="s">
        <v>59</v>
      </c>
      <c r="C90" s="26">
        <v>24.4</v>
      </c>
      <c r="D90" s="26">
        <v>40.1</v>
      </c>
      <c r="E90" s="26">
        <v>35.5</v>
      </c>
      <c r="F90" s="26">
        <v>0</v>
      </c>
      <c r="G90">
        <f t="shared" si="1"/>
        <v>35.5</v>
      </c>
    </row>
    <row r="91" spans="1:7" ht="15.75" thickBot="1" x14ac:dyDescent="0.3">
      <c r="A91" s="4">
        <v>68</v>
      </c>
      <c r="B91" s="14" t="s">
        <v>60</v>
      </c>
      <c r="C91" s="26">
        <v>28.4</v>
      </c>
      <c r="D91" s="26">
        <v>39.799999999999997</v>
      </c>
      <c r="E91" s="26">
        <v>31.8</v>
      </c>
      <c r="F91" s="26">
        <v>0</v>
      </c>
      <c r="G91">
        <f t="shared" si="1"/>
        <v>31.8</v>
      </c>
    </row>
    <row r="92" spans="1:7" ht="15.75" thickBot="1" x14ac:dyDescent="0.3">
      <c r="A92" s="85">
        <v>69</v>
      </c>
      <c r="B92" s="18" t="s">
        <v>61</v>
      </c>
      <c r="C92" s="27">
        <v>36.799999999999997</v>
      </c>
      <c r="D92" s="27">
        <v>41.5</v>
      </c>
      <c r="E92" s="27">
        <v>21.7</v>
      </c>
      <c r="F92" s="26">
        <v>0</v>
      </c>
      <c r="G92">
        <f t="shared" si="1"/>
        <v>21.7</v>
      </c>
    </row>
    <row r="93" spans="1:7" ht="15.75" thickBot="1" x14ac:dyDescent="0.3">
      <c r="A93" s="85"/>
      <c r="B93" s="19"/>
      <c r="C93" s="28">
        <v>3</v>
      </c>
      <c r="D93" s="28">
        <v>84.4</v>
      </c>
      <c r="E93" s="28">
        <v>12.6</v>
      </c>
      <c r="F93" s="26">
        <v>0</v>
      </c>
      <c r="G93">
        <f t="shared" si="1"/>
        <v>12.6</v>
      </c>
    </row>
    <row r="94" spans="1:7" ht="15.75" thickBot="1" x14ac:dyDescent="0.3">
      <c r="A94" s="4">
        <v>71</v>
      </c>
      <c r="B94" s="14" t="s">
        <v>62</v>
      </c>
      <c r="C94" s="26">
        <v>41.9</v>
      </c>
      <c r="D94" s="26">
        <v>49.8</v>
      </c>
      <c r="E94" s="26">
        <v>8.3000000000000007</v>
      </c>
      <c r="F94" s="26">
        <v>0</v>
      </c>
      <c r="G94">
        <f t="shared" si="1"/>
        <v>8.3000000000000007</v>
      </c>
    </row>
    <row r="95" spans="1:7" ht="15.75" thickBot="1" x14ac:dyDescent="0.3">
      <c r="A95" s="4">
        <v>72</v>
      </c>
      <c r="B95" s="14" t="s">
        <v>63</v>
      </c>
      <c r="C95" s="26">
        <v>25.2</v>
      </c>
      <c r="D95" s="26">
        <v>34.200000000000003</v>
      </c>
      <c r="E95" s="26">
        <v>40.6</v>
      </c>
      <c r="F95" s="26">
        <v>0</v>
      </c>
      <c r="G95">
        <f t="shared" si="1"/>
        <v>40.6</v>
      </c>
    </row>
    <row r="96" spans="1:7" ht="15.75" thickBot="1" x14ac:dyDescent="0.3">
      <c r="A96" s="4">
        <v>73</v>
      </c>
      <c r="B96" s="14" t="s">
        <v>64</v>
      </c>
      <c r="C96" s="26">
        <v>37.200000000000003</v>
      </c>
      <c r="D96" s="26">
        <v>54.5</v>
      </c>
      <c r="E96" s="26">
        <v>8.3000000000000007</v>
      </c>
      <c r="F96" s="26">
        <v>0</v>
      </c>
      <c r="G96">
        <f t="shared" si="1"/>
        <v>8.3000000000000007</v>
      </c>
    </row>
    <row r="97" spans="1:7" ht="15.75" thickBot="1" x14ac:dyDescent="0.3">
      <c r="A97" s="4">
        <v>74</v>
      </c>
      <c r="B97" s="14" t="s">
        <v>65</v>
      </c>
      <c r="C97" s="26">
        <v>40.1</v>
      </c>
      <c r="D97" s="26">
        <v>50.6</v>
      </c>
      <c r="E97" s="26">
        <v>9.3000000000000007</v>
      </c>
      <c r="F97" s="26">
        <v>0</v>
      </c>
      <c r="G97">
        <f t="shared" si="1"/>
        <v>9.3000000000000007</v>
      </c>
    </row>
    <row r="98" spans="1:7" ht="15.75" thickBot="1" x14ac:dyDescent="0.3">
      <c r="A98" s="4">
        <v>75</v>
      </c>
      <c r="B98" s="14" t="s">
        <v>66</v>
      </c>
      <c r="C98" s="26">
        <v>28.1</v>
      </c>
      <c r="D98" s="26">
        <v>46.8</v>
      </c>
      <c r="E98" s="26">
        <v>25.1</v>
      </c>
      <c r="F98" s="26">
        <v>0</v>
      </c>
      <c r="G98">
        <f t="shared" si="1"/>
        <v>25.1</v>
      </c>
    </row>
    <row r="99" spans="1:7" ht="15.75" thickBot="1" x14ac:dyDescent="0.3">
      <c r="A99" s="4">
        <v>76</v>
      </c>
      <c r="B99" s="14" t="s">
        <v>67</v>
      </c>
      <c r="C99" s="26">
        <v>40.4</v>
      </c>
      <c r="D99" s="26">
        <v>50.3</v>
      </c>
      <c r="E99" s="26">
        <v>9.3000000000000007</v>
      </c>
      <c r="F99" s="26">
        <v>0</v>
      </c>
      <c r="G99">
        <f t="shared" si="1"/>
        <v>9.3000000000000007</v>
      </c>
    </row>
    <row r="100" spans="1:7" ht="15.75" thickBot="1" x14ac:dyDescent="0.3">
      <c r="A100" s="4">
        <v>77</v>
      </c>
      <c r="B100" s="14" t="s">
        <v>68</v>
      </c>
      <c r="C100" s="26">
        <v>28.7</v>
      </c>
      <c r="D100" s="26">
        <v>42.4</v>
      </c>
      <c r="E100" s="26">
        <v>28.9</v>
      </c>
      <c r="F100" s="26">
        <v>0</v>
      </c>
      <c r="G100">
        <f t="shared" si="1"/>
        <v>28.9</v>
      </c>
    </row>
    <row r="101" spans="1:7" ht="15.75" thickBot="1" x14ac:dyDescent="0.3">
      <c r="A101" s="4">
        <v>78</v>
      </c>
      <c r="B101" s="14" t="s">
        <v>69</v>
      </c>
      <c r="C101" s="26">
        <v>37.799999999999997</v>
      </c>
      <c r="D101" s="26">
        <v>48.4</v>
      </c>
      <c r="E101" s="26">
        <v>13.8</v>
      </c>
      <c r="F101" s="26">
        <v>0</v>
      </c>
      <c r="G101">
        <f t="shared" si="1"/>
        <v>13.8</v>
      </c>
    </row>
    <row r="102" spans="1:7" ht="15.75" thickBot="1" x14ac:dyDescent="0.3">
      <c r="A102" s="4">
        <v>79</v>
      </c>
      <c r="B102" s="14" t="s">
        <v>70</v>
      </c>
      <c r="C102" s="26">
        <v>37.200000000000003</v>
      </c>
      <c r="D102" s="26">
        <v>39.9</v>
      </c>
      <c r="E102" s="26">
        <v>22.9</v>
      </c>
      <c r="F102" s="26">
        <v>0</v>
      </c>
      <c r="G102">
        <f t="shared" si="1"/>
        <v>22.9</v>
      </c>
    </row>
    <row r="103" spans="1:7" ht="15.75" thickBot="1" x14ac:dyDescent="0.3">
      <c r="A103" s="4">
        <v>80</v>
      </c>
      <c r="B103" s="18" t="s">
        <v>71</v>
      </c>
      <c r="C103" s="27">
        <v>29.1</v>
      </c>
      <c r="D103" s="27">
        <v>48.9</v>
      </c>
      <c r="E103" s="27">
        <v>22</v>
      </c>
      <c r="F103" s="26">
        <v>0</v>
      </c>
      <c r="G103">
        <f t="shared" si="1"/>
        <v>22</v>
      </c>
    </row>
    <row r="104" spans="1:7" ht="15.75" thickBot="1" x14ac:dyDescent="0.3">
      <c r="B104" s="19"/>
      <c r="C104" s="28">
        <v>15.3</v>
      </c>
      <c r="D104" s="28">
        <v>47.2</v>
      </c>
      <c r="E104" s="28">
        <v>37.5</v>
      </c>
      <c r="F104" s="26">
        <v>0</v>
      </c>
      <c r="G104">
        <f t="shared" si="1"/>
        <v>37.5</v>
      </c>
    </row>
    <row r="105" spans="1:7" ht="15.75" thickBot="1" x14ac:dyDescent="0.3">
      <c r="A105" s="4">
        <v>81</v>
      </c>
      <c r="B105" s="14" t="s">
        <v>72</v>
      </c>
      <c r="C105" s="26">
        <v>38.1</v>
      </c>
      <c r="D105" s="26">
        <v>43.4</v>
      </c>
      <c r="E105" s="26">
        <v>18.5</v>
      </c>
      <c r="F105" s="26">
        <v>0</v>
      </c>
      <c r="G105">
        <f t="shared" si="1"/>
        <v>18.5</v>
      </c>
    </row>
    <row r="106" spans="1:7" ht="15.75" thickBot="1" x14ac:dyDescent="0.3">
      <c r="A106" s="4">
        <v>82</v>
      </c>
      <c r="B106" s="14" t="s">
        <v>73</v>
      </c>
      <c r="C106" s="26">
        <v>40.5</v>
      </c>
      <c r="D106" s="26">
        <v>55.4</v>
      </c>
      <c r="E106" s="26">
        <v>4.0999999999999996</v>
      </c>
      <c r="F106" s="26">
        <v>0</v>
      </c>
      <c r="G106">
        <f t="shared" si="1"/>
        <v>4.0999999999999996</v>
      </c>
    </row>
    <row r="107" spans="1:7" x14ac:dyDescent="0.25">
      <c r="A107" s="4">
        <v>83</v>
      </c>
      <c r="B107" s="79" t="s">
        <v>74</v>
      </c>
      <c r="C107" s="27">
        <v>22.2</v>
      </c>
      <c r="D107" s="27">
        <v>38.4</v>
      </c>
      <c r="E107" s="27">
        <v>32</v>
      </c>
      <c r="F107" s="27">
        <v>7.4</v>
      </c>
      <c r="G107">
        <f t="shared" si="1"/>
        <v>39.4</v>
      </c>
    </row>
    <row r="108" spans="1:7" x14ac:dyDescent="0.25">
      <c r="B108" s="81"/>
      <c r="C108" s="29">
        <v>23.3</v>
      </c>
      <c r="D108" s="29">
        <v>40.299999999999997</v>
      </c>
      <c r="E108" s="29">
        <v>33.9</v>
      </c>
      <c r="F108" s="29">
        <v>2.5</v>
      </c>
      <c r="G108">
        <f t="shared" si="1"/>
        <v>36.4</v>
      </c>
    </row>
    <row r="109" spans="1:7" ht="15.75" thickBot="1" x14ac:dyDescent="0.3">
      <c r="B109" s="80"/>
      <c r="C109" s="28">
        <v>24.4</v>
      </c>
      <c r="D109" s="28">
        <v>43.9</v>
      </c>
      <c r="E109" s="28">
        <v>29.7</v>
      </c>
      <c r="F109" s="28">
        <v>2</v>
      </c>
      <c r="G109">
        <f t="shared" si="1"/>
        <v>31.7</v>
      </c>
    </row>
    <row r="110" spans="1:7" ht="15.75" thickBot="1" x14ac:dyDescent="0.3">
      <c r="A110" s="4">
        <v>84</v>
      </c>
      <c r="B110" s="14" t="s">
        <v>75</v>
      </c>
      <c r="C110" s="26">
        <v>27.2</v>
      </c>
      <c r="D110" s="26">
        <v>37.799999999999997</v>
      </c>
      <c r="E110" s="26">
        <v>29</v>
      </c>
      <c r="F110" s="26">
        <v>6</v>
      </c>
      <c r="G110">
        <f t="shared" si="1"/>
        <v>35</v>
      </c>
    </row>
    <row r="111" spans="1:7" x14ac:dyDescent="0.25">
      <c r="A111" s="4">
        <v>85</v>
      </c>
      <c r="B111" s="79" t="s">
        <v>76</v>
      </c>
      <c r="C111" s="27">
        <v>30.1</v>
      </c>
      <c r="D111" s="27">
        <v>52.7</v>
      </c>
      <c r="E111" s="27">
        <v>17.2</v>
      </c>
      <c r="F111" s="27">
        <v>0</v>
      </c>
      <c r="G111">
        <f t="shared" si="1"/>
        <v>17.2</v>
      </c>
    </row>
    <row r="112" spans="1:7" x14ac:dyDescent="0.25">
      <c r="B112" s="81"/>
      <c r="C112" s="29">
        <v>20</v>
      </c>
      <c r="D112" s="29">
        <v>41.9</v>
      </c>
      <c r="E112" s="29">
        <v>28.8</v>
      </c>
      <c r="F112" s="29">
        <v>9.3000000000000007</v>
      </c>
      <c r="G112">
        <f t="shared" si="1"/>
        <v>38.1</v>
      </c>
    </row>
    <row r="113" spans="1:7" ht="15.75" thickBot="1" x14ac:dyDescent="0.3">
      <c r="B113" s="80"/>
      <c r="C113" s="28">
        <v>17.2</v>
      </c>
      <c r="D113" s="28">
        <v>47.5</v>
      </c>
      <c r="E113" s="28">
        <v>32.799999999999997</v>
      </c>
      <c r="F113" s="28">
        <v>2.5</v>
      </c>
      <c r="G113">
        <f t="shared" si="1"/>
        <v>35.299999999999997</v>
      </c>
    </row>
    <row r="114" spans="1:7" x14ac:dyDescent="0.25">
      <c r="A114" s="4">
        <v>86</v>
      </c>
      <c r="B114" s="79" t="s">
        <v>77</v>
      </c>
      <c r="C114" s="27">
        <v>20.2</v>
      </c>
      <c r="D114" s="27">
        <v>44.2</v>
      </c>
      <c r="E114" s="27">
        <v>32.5</v>
      </c>
      <c r="F114" s="27">
        <v>3.1</v>
      </c>
      <c r="G114">
        <f t="shared" si="1"/>
        <v>35.6</v>
      </c>
    </row>
    <row r="115" spans="1:7" ht="15.75" thickBot="1" x14ac:dyDescent="0.3">
      <c r="B115" s="80"/>
      <c r="C115" s="28">
        <v>20</v>
      </c>
      <c r="D115" s="28">
        <v>39.9</v>
      </c>
      <c r="E115" s="28">
        <v>36.700000000000003</v>
      </c>
      <c r="F115" s="28">
        <v>3.4</v>
      </c>
      <c r="G115">
        <f t="shared" si="1"/>
        <v>40.1</v>
      </c>
    </row>
    <row r="116" spans="1:7" x14ac:dyDescent="0.25">
      <c r="A116" s="4">
        <v>87</v>
      </c>
      <c r="B116" s="79" t="s">
        <v>78</v>
      </c>
      <c r="C116" s="27">
        <v>16.899999999999999</v>
      </c>
      <c r="D116" s="27">
        <v>42.2</v>
      </c>
      <c r="E116" s="27">
        <v>32.1</v>
      </c>
      <c r="F116" s="27">
        <v>8.8000000000000007</v>
      </c>
      <c r="G116">
        <f t="shared" si="1"/>
        <v>40.900000000000006</v>
      </c>
    </row>
    <row r="117" spans="1:7" ht="15.75" thickBot="1" x14ac:dyDescent="0.3">
      <c r="B117" s="80"/>
      <c r="C117" s="28">
        <v>26.7</v>
      </c>
      <c r="D117" s="28">
        <v>46.2</v>
      </c>
      <c r="E117" s="28">
        <v>27.1</v>
      </c>
      <c r="F117" s="28">
        <v>0</v>
      </c>
      <c r="G117">
        <f t="shared" si="1"/>
        <v>27.1</v>
      </c>
    </row>
    <row r="118" spans="1:7" ht="15.75" thickBot="1" x14ac:dyDescent="0.3">
      <c r="A118" s="4">
        <v>88</v>
      </c>
      <c r="B118" s="14" t="s">
        <v>79</v>
      </c>
      <c r="C118" s="26">
        <v>34.5</v>
      </c>
      <c r="D118" s="26">
        <v>45.8</v>
      </c>
      <c r="E118" s="26">
        <v>19.7</v>
      </c>
      <c r="F118" s="28">
        <v>0</v>
      </c>
      <c r="G118">
        <f t="shared" si="1"/>
        <v>19.7</v>
      </c>
    </row>
    <row r="119" spans="1:7" ht="15.75" thickBot="1" x14ac:dyDescent="0.3">
      <c r="A119" s="4">
        <v>89</v>
      </c>
      <c r="B119" s="14" t="s">
        <v>80</v>
      </c>
      <c r="C119" s="26">
        <v>25</v>
      </c>
      <c r="D119" s="26">
        <v>49.3</v>
      </c>
      <c r="E119" s="26">
        <v>25.7</v>
      </c>
      <c r="F119" s="28">
        <v>0</v>
      </c>
      <c r="G119">
        <f t="shared" si="1"/>
        <v>25.7</v>
      </c>
    </row>
    <row r="120" spans="1:7" x14ac:dyDescent="0.25">
      <c r="A120" s="4">
        <v>90</v>
      </c>
      <c r="B120" s="79" t="s">
        <v>81</v>
      </c>
      <c r="C120" s="27">
        <v>13.2</v>
      </c>
      <c r="D120" s="27">
        <v>42.1</v>
      </c>
      <c r="E120" s="27">
        <v>35.799999999999997</v>
      </c>
      <c r="F120" s="27">
        <v>8.9</v>
      </c>
      <c r="G120">
        <f t="shared" si="1"/>
        <v>44.699999999999996</v>
      </c>
    </row>
    <row r="121" spans="1:7" x14ac:dyDescent="0.25">
      <c r="B121" s="81"/>
      <c r="C121" s="29">
        <v>21.1</v>
      </c>
      <c r="D121" s="29">
        <v>42</v>
      </c>
      <c r="E121" s="29">
        <v>36.9</v>
      </c>
      <c r="F121" s="29">
        <v>0</v>
      </c>
      <c r="G121">
        <f t="shared" si="1"/>
        <v>36.9</v>
      </c>
    </row>
    <row r="122" spans="1:7" ht="15.75" thickBot="1" x14ac:dyDescent="0.3">
      <c r="B122" s="80"/>
      <c r="C122" s="28">
        <v>46.2</v>
      </c>
      <c r="D122" s="28">
        <v>35.1</v>
      </c>
      <c r="E122" s="28">
        <v>18.7</v>
      </c>
      <c r="F122" s="29">
        <v>0</v>
      </c>
      <c r="G122">
        <f t="shared" si="1"/>
        <v>18.7</v>
      </c>
    </row>
    <row r="123" spans="1:7" ht="15.75" thickBot="1" x14ac:dyDescent="0.3">
      <c r="A123" s="4">
        <v>91</v>
      </c>
      <c r="B123" s="14" t="s">
        <v>82</v>
      </c>
      <c r="C123" s="26">
        <v>30.5</v>
      </c>
      <c r="D123" s="26">
        <v>40.5</v>
      </c>
      <c r="E123" s="26">
        <v>29</v>
      </c>
      <c r="F123" s="29">
        <v>0</v>
      </c>
      <c r="G123">
        <f t="shared" si="1"/>
        <v>29</v>
      </c>
    </row>
    <row r="124" spans="1:7" ht="15.75" thickBot="1" x14ac:dyDescent="0.3">
      <c r="A124" s="4">
        <v>92</v>
      </c>
      <c r="B124" s="14" t="s">
        <v>83</v>
      </c>
      <c r="C124" s="26">
        <v>27.5</v>
      </c>
      <c r="D124" s="26">
        <v>48.3</v>
      </c>
      <c r="E124" s="26">
        <v>24.2</v>
      </c>
      <c r="F124" s="29">
        <v>0</v>
      </c>
      <c r="G124">
        <f t="shared" si="1"/>
        <v>24.2</v>
      </c>
    </row>
    <row r="125" spans="1:7" ht="15.75" thickBot="1" x14ac:dyDescent="0.3">
      <c r="A125" s="4">
        <v>93</v>
      </c>
      <c r="B125" s="14" t="s">
        <v>84</v>
      </c>
      <c r="C125" s="26">
        <v>34.5</v>
      </c>
      <c r="D125" s="26">
        <v>48.8</v>
      </c>
      <c r="E125" s="26">
        <v>16.7</v>
      </c>
      <c r="F125" s="29">
        <v>0</v>
      </c>
      <c r="G125">
        <f t="shared" si="1"/>
        <v>16.7</v>
      </c>
    </row>
    <row r="126" spans="1:7" ht="15.75" thickBot="1" x14ac:dyDescent="0.3">
      <c r="A126" s="4">
        <v>94</v>
      </c>
      <c r="B126" s="14" t="s">
        <v>85</v>
      </c>
      <c r="C126" s="26">
        <v>11.9</v>
      </c>
      <c r="D126" s="26">
        <v>27.2</v>
      </c>
      <c r="E126" s="26">
        <v>52.8</v>
      </c>
      <c r="F126" s="26">
        <v>8.1</v>
      </c>
      <c r="G126">
        <f t="shared" si="1"/>
        <v>60.9</v>
      </c>
    </row>
    <row r="127" spans="1:7" ht="15.75" thickBot="1" x14ac:dyDescent="0.3">
      <c r="A127" s="4">
        <v>95</v>
      </c>
      <c r="B127" s="14" t="s">
        <v>86</v>
      </c>
      <c r="C127" s="26">
        <v>30.6</v>
      </c>
      <c r="D127" s="26">
        <v>65.3</v>
      </c>
      <c r="E127" s="26">
        <v>4.0999999999999996</v>
      </c>
      <c r="F127" s="26">
        <v>0</v>
      </c>
      <c r="G127">
        <f t="shared" si="1"/>
        <v>4.0999999999999996</v>
      </c>
    </row>
    <row r="128" spans="1:7" ht="15.75" thickBot="1" x14ac:dyDescent="0.3">
      <c r="A128" s="4">
        <v>96</v>
      </c>
      <c r="B128" s="14" t="s">
        <v>87</v>
      </c>
      <c r="C128" s="26">
        <v>26.8</v>
      </c>
      <c r="D128" s="26">
        <v>44.8</v>
      </c>
      <c r="E128" s="26">
        <v>26.1</v>
      </c>
      <c r="F128" s="26">
        <v>2.2999999999999998</v>
      </c>
      <c r="G128">
        <f t="shared" si="1"/>
        <v>28.400000000000002</v>
      </c>
    </row>
    <row r="129" spans="1:7" ht="15.75" thickBot="1" x14ac:dyDescent="0.3">
      <c r="A129" s="4">
        <v>99</v>
      </c>
      <c r="B129" s="14" t="s">
        <v>88</v>
      </c>
      <c r="C129" s="26">
        <v>26.9</v>
      </c>
      <c r="D129" s="26">
        <v>44.5</v>
      </c>
      <c r="E129" s="26">
        <v>25.8</v>
      </c>
      <c r="F129" s="26">
        <v>2.8</v>
      </c>
      <c r="G129">
        <f t="shared" si="1"/>
        <v>28.6</v>
      </c>
    </row>
    <row r="130" spans="1:7" ht="15.75" thickBot="1" x14ac:dyDescent="0.3">
      <c r="A130" s="4">
        <v>100</v>
      </c>
      <c r="B130" s="14" t="s">
        <v>89</v>
      </c>
      <c r="C130" s="26">
        <v>40.6</v>
      </c>
      <c r="D130" s="26">
        <v>47.2</v>
      </c>
      <c r="E130" s="26">
        <v>12.2</v>
      </c>
      <c r="F130" s="26">
        <v>0</v>
      </c>
      <c r="G130">
        <f t="shared" si="1"/>
        <v>12.2</v>
      </c>
    </row>
    <row r="131" spans="1:7" ht="15.75" thickBot="1" x14ac:dyDescent="0.3">
      <c r="A131" s="4">
        <v>101</v>
      </c>
      <c r="B131" s="14" t="s">
        <v>90</v>
      </c>
      <c r="C131" s="26">
        <v>34</v>
      </c>
      <c r="D131" s="26">
        <v>52.6</v>
      </c>
      <c r="E131" s="26">
        <v>13.4</v>
      </c>
      <c r="F131" s="26">
        <v>0</v>
      </c>
      <c r="G131">
        <f t="shared" ref="G131:G156" si="2">E131+F131</f>
        <v>13.4</v>
      </c>
    </row>
    <row r="132" spans="1:7" ht="15.75" thickBot="1" x14ac:dyDescent="0.3">
      <c r="A132" s="4">
        <v>102</v>
      </c>
      <c r="B132" s="14" t="s">
        <v>91</v>
      </c>
      <c r="C132" s="26">
        <v>37.5</v>
      </c>
      <c r="D132" s="26">
        <v>55.8</v>
      </c>
      <c r="E132" s="26">
        <v>6.7</v>
      </c>
      <c r="F132" s="26">
        <v>0</v>
      </c>
      <c r="G132">
        <f t="shared" si="2"/>
        <v>6.7</v>
      </c>
    </row>
    <row r="133" spans="1:7" ht="15.75" thickBot="1" x14ac:dyDescent="0.3">
      <c r="A133" s="4">
        <v>103</v>
      </c>
      <c r="B133" s="14" t="s">
        <v>92</v>
      </c>
      <c r="C133" s="26">
        <v>29.5</v>
      </c>
      <c r="D133" s="26">
        <v>39.5</v>
      </c>
      <c r="E133" s="26">
        <v>31</v>
      </c>
      <c r="F133" s="26">
        <v>0</v>
      </c>
      <c r="G133">
        <f t="shared" si="2"/>
        <v>31</v>
      </c>
    </row>
    <row r="134" spans="1:7" x14ac:dyDescent="0.25">
      <c r="A134" s="4">
        <v>105</v>
      </c>
      <c r="B134" s="79" t="s">
        <v>93</v>
      </c>
      <c r="C134" s="27">
        <v>9.1999999999999993</v>
      </c>
      <c r="D134" s="27">
        <v>45.7</v>
      </c>
      <c r="E134" s="27">
        <v>38.299999999999997</v>
      </c>
      <c r="F134" s="27">
        <v>6.8</v>
      </c>
      <c r="G134">
        <f t="shared" si="2"/>
        <v>45.099999999999994</v>
      </c>
    </row>
    <row r="135" spans="1:7" x14ac:dyDescent="0.25">
      <c r="B135" s="81"/>
      <c r="C135" s="29">
        <v>21.5</v>
      </c>
      <c r="D135" s="29">
        <v>63</v>
      </c>
      <c r="E135" s="29">
        <v>15.5</v>
      </c>
      <c r="F135" s="29">
        <v>0</v>
      </c>
      <c r="G135">
        <f t="shared" si="2"/>
        <v>15.5</v>
      </c>
    </row>
    <row r="136" spans="1:7" ht="15.75" thickBot="1" x14ac:dyDescent="0.3">
      <c r="B136" s="80"/>
      <c r="C136" s="28">
        <v>32.299999999999997</v>
      </c>
      <c r="D136" s="28">
        <v>50.5</v>
      </c>
      <c r="E136" s="28">
        <v>17.2</v>
      </c>
      <c r="F136" s="28">
        <v>0</v>
      </c>
      <c r="G136">
        <f t="shared" si="2"/>
        <v>17.2</v>
      </c>
    </row>
    <row r="137" spans="1:7" x14ac:dyDescent="0.25">
      <c r="A137" s="4">
        <v>106</v>
      </c>
      <c r="B137" s="79" t="s">
        <v>94</v>
      </c>
      <c r="C137" s="27">
        <v>13.5</v>
      </c>
      <c r="D137" s="27">
        <v>37.700000000000003</v>
      </c>
      <c r="E137" s="27">
        <v>40.6</v>
      </c>
      <c r="F137" s="27">
        <v>8.1999999999999993</v>
      </c>
      <c r="G137">
        <f t="shared" si="2"/>
        <v>48.8</v>
      </c>
    </row>
    <row r="138" spans="1:7" x14ac:dyDescent="0.25">
      <c r="B138" s="81"/>
      <c r="C138" s="29">
        <v>20</v>
      </c>
      <c r="D138" s="29">
        <v>36.9</v>
      </c>
      <c r="E138" s="29">
        <v>35.200000000000003</v>
      </c>
      <c r="F138" s="29">
        <v>7.9</v>
      </c>
      <c r="G138">
        <f t="shared" si="2"/>
        <v>43.1</v>
      </c>
    </row>
    <row r="139" spans="1:7" ht="15.75" thickBot="1" x14ac:dyDescent="0.3">
      <c r="B139" s="80"/>
      <c r="C139" s="28">
        <v>33.5</v>
      </c>
      <c r="D139" s="28">
        <v>55.5</v>
      </c>
      <c r="E139" s="28">
        <v>11</v>
      </c>
      <c r="F139" s="28">
        <v>0</v>
      </c>
      <c r="G139">
        <f t="shared" si="2"/>
        <v>11</v>
      </c>
    </row>
    <row r="140" spans="1:7" ht="15.75" thickBot="1" x14ac:dyDescent="0.3">
      <c r="A140" s="4">
        <v>107</v>
      </c>
      <c r="B140" s="14" t="s">
        <v>95</v>
      </c>
      <c r="C140" s="26">
        <v>39.9</v>
      </c>
      <c r="D140" s="26">
        <v>45.9</v>
      </c>
      <c r="E140" s="26">
        <v>14.2</v>
      </c>
      <c r="F140" s="28">
        <v>0</v>
      </c>
      <c r="G140">
        <f t="shared" si="2"/>
        <v>14.2</v>
      </c>
    </row>
    <row r="141" spans="1:7" ht="15.75" thickBot="1" x14ac:dyDescent="0.3">
      <c r="A141" s="4">
        <v>108</v>
      </c>
      <c r="B141" s="79" t="s">
        <v>96</v>
      </c>
      <c r="C141" s="27">
        <v>33.799999999999997</v>
      </c>
      <c r="D141" s="27">
        <v>61.9</v>
      </c>
      <c r="E141" s="27">
        <v>4.3</v>
      </c>
      <c r="F141" s="28">
        <v>0</v>
      </c>
      <c r="G141">
        <f t="shared" si="2"/>
        <v>4.3</v>
      </c>
    </row>
    <row r="142" spans="1:7" ht="15.75" thickBot="1" x14ac:dyDescent="0.3">
      <c r="B142" s="81"/>
      <c r="C142" s="29">
        <v>26.2</v>
      </c>
      <c r="D142" s="29">
        <v>58.1</v>
      </c>
      <c r="E142" s="29">
        <v>15.7</v>
      </c>
      <c r="F142" s="28">
        <v>0</v>
      </c>
      <c r="G142">
        <f t="shared" si="2"/>
        <v>15.7</v>
      </c>
    </row>
    <row r="143" spans="1:7" ht="15.75" thickBot="1" x14ac:dyDescent="0.3">
      <c r="B143" s="80"/>
      <c r="C143" s="28">
        <v>29</v>
      </c>
      <c r="D143" s="28">
        <v>45</v>
      </c>
      <c r="E143" s="28">
        <v>26</v>
      </c>
      <c r="F143" s="28">
        <v>0</v>
      </c>
      <c r="G143">
        <f t="shared" si="2"/>
        <v>26</v>
      </c>
    </row>
    <row r="144" spans="1:7" x14ac:dyDescent="0.25">
      <c r="A144" s="4">
        <v>109</v>
      </c>
      <c r="B144" s="79" t="s">
        <v>97</v>
      </c>
      <c r="C144" s="27">
        <v>22.5</v>
      </c>
      <c r="D144" s="27">
        <v>54.8</v>
      </c>
      <c r="E144" s="27">
        <v>19.5</v>
      </c>
      <c r="F144" s="27">
        <v>3.2</v>
      </c>
      <c r="G144">
        <f t="shared" si="2"/>
        <v>22.7</v>
      </c>
    </row>
    <row r="145" spans="1:14" ht="15.75" thickBot="1" x14ac:dyDescent="0.3">
      <c r="B145" s="80"/>
      <c r="C145" s="28">
        <v>33.4</v>
      </c>
      <c r="D145" s="28">
        <v>35.1</v>
      </c>
      <c r="E145" s="28">
        <v>28.5</v>
      </c>
      <c r="F145" s="28">
        <v>3</v>
      </c>
      <c r="G145">
        <f t="shared" si="2"/>
        <v>31.5</v>
      </c>
    </row>
    <row r="146" spans="1:14" ht="15.75" thickBot="1" x14ac:dyDescent="0.3">
      <c r="A146" s="4">
        <v>110</v>
      </c>
      <c r="B146" s="14" t="s">
        <v>98</v>
      </c>
      <c r="C146" s="26">
        <v>35.9</v>
      </c>
      <c r="D146" s="26">
        <v>48.3</v>
      </c>
      <c r="E146" s="26">
        <v>15.8</v>
      </c>
      <c r="F146" s="26">
        <v>0</v>
      </c>
      <c r="G146">
        <f t="shared" si="2"/>
        <v>15.8</v>
      </c>
    </row>
    <row r="147" spans="1:14" ht="15.75" thickBot="1" x14ac:dyDescent="0.3">
      <c r="A147" s="4">
        <v>112</v>
      </c>
      <c r="B147" s="14" t="s">
        <v>99</v>
      </c>
      <c r="C147" s="26">
        <v>13.1</v>
      </c>
      <c r="D147" s="26">
        <v>70.5</v>
      </c>
      <c r="E147" s="26">
        <v>16.399999999999999</v>
      </c>
      <c r="F147" s="26">
        <v>0</v>
      </c>
      <c r="G147">
        <f t="shared" si="2"/>
        <v>16.399999999999999</v>
      </c>
    </row>
    <row r="148" spans="1:14" ht="15.75" thickBot="1" x14ac:dyDescent="0.3">
      <c r="A148" s="4">
        <v>113</v>
      </c>
      <c r="B148" s="14" t="s">
        <v>100</v>
      </c>
      <c r="C148" s="26">
        <v>26.5</v>
      </c>
      <c r="D148" s="26">
        <v>47</v>
      </c>
      <c r="E148" s="26">
        <v>26.5</v>
      </c>
      <c r="F148" s="26">
        <v>0</v>
      </c>
      <c r="G148">
        <f t="shared" si="2"/>
        <v>26.5</v>
      </c>
    </row>
    <row r="149" spans="1:14" ht="15.75" thickBot="1" x14ac:dyDescent="0.3">
      <c r="A149" s="4">
        <v>114</v>
      </c>
      <c r="B149" s="14" t="s">
        <v>101</v>
      </c>
      <c r="C149" s="26">
        <v>25.5</v>
      </c>
      <c r="D149" s="26">
        <v>37.1</v>
      </c>
      <c r="E149" s="26">
        <v>33.200000000000003</v>
      </c>
      <c r="F149" s="26">
        <v>4.2</v>
      </c>
      <c r="G149">
        <f t="shared" si="2"/>
        <v>37.400000000000006</v>
      </c>
    </row>
    <row r="150" spans="1:14" ht="15.75" thickBot="1" x14ac:dyDescent="0.3">
      <c r="A150" s="4">
        <v>115</v>
      </c>
      <c r="B150" s="14" t="s">
        <v>102</v>
      </c>
      <c r="C150" s="26">
        <v>29.1</v>
      </c>
      <c r="D150" s="26">
        <v>54.8</v>
      </c>
      <c r="E150" s="26">
        <v>16.100000000000001</v>
      </c>
      <c r="F150" s="26">
        <v>0</v>
      </c>
      <c r="G150">
        <f t="shared" si="2"/>
        <v>16.100000000000001</v>
      </c>
    </row>
    <row r="151" spans="1:14" ht="15.75" thickBot="1" x14ac:dyDescent="0.3">
      <c r="A151" s="4">
        <v>116</v>
      </c>
      <c r="B151" s="14" t="s">
        <v>103</v>
      </c>
      <c r="C151" s="26">
        <v>42.9</v>
      </c>
      <c r="D151" s="26">
        <v>42.6</v>
      </c>
      <c r="E151" s="26">
        <v>14.5</v>
      </c>
      <c r="F151" s="26">
        <v>0</v>
      </c>
      <c r="G151">
        <f t="shared" si="2"/>
        <v>14.5</v>
      </c>
    </row>
    <row r="152" spans="1:14" ht="15.75" thickBot="1" x14ac:dyDescent="0.3">
      <c r="A152" s="4">
        <v>120</v>
      </c>
      <c r="B152" s="14" t="s">
        <v>104</v>
      </c>
      <c r="C152" s="26">
        <v>42</v>
      </c>
      <c r="D152" s="26">
        <v>51.7</v>
      </c>
      <c r="E152" s="26">
        <v>6.3</v>
      </c>
      <c r="F152" s="26">
        <v>0</v>
      </c>
      <c r="G152">
        <f t="shared" si="2"/>
        <v>6.3</v>
      </c>
    </row>
    <row r="153" spans="1:14" ht="15.75" thickBot="1" x14ac:dyDescent="0.3">
      <c r="A153" s="4">
        <v>121</v>
      </c>
      <c r="B153" s="14" t="s">
        <v>105</v>
      </c>
      <c r="C153" s="26">
        <v>43.1</v>
      </c>
      <c r="D153" s="26">
        <v>51.9</v>
      </c>
      <c r="E153" s="26">
        <v>5</v>
      </c>
      <c r="F153" s="26">
        <v>0</v>
      </c>
      <c r="G153">
        <f t="shared" si="2"/>
        <v>5</v>
      </c>
    </row>
    <row r="154" spans="1:14" ht="15.75" thickBot="1" x14ac:dyDescent="0.3">
      <c r="A154" s="4">
        <v>122</v>
      </c>
      <c r="B154" s="14" t="s">
        <v>106</v>
      </c>
      <c r="C154" s="26">
        <v>44</v>
      </c>
      <c r="D154" s="26">
        <v>50.1</v>
      </c>
      <c r="E154" s="26">
        <v>5.9</v>
      </c>
      <c r="F154" s="26">
        <v>0</v>
      </c>
      <c r="G154">
        <f t="shared" si="2"/>
        <v>5.9</v>
      </c>
    </row>
    <row r="155" spans="1:14" ht="15.75" thickBot="1" x14ac:dyDescent="0.3">
      <c r="A155" s="4">
        <v>123</v>
      </c>
      <c r="B155" s="14" t="s">
        <v>107</v>
      </c>
      <c r="C155" s="26">
        <v>47.4</v>
      </c>
      <c r="D155" s="26">
        <v>48.1</v>
      </c>
      <c r="E155" s="26">
        <v>4.5</v>
      </c>
      <c r="F155" s="26">
        <v>0</v>
      </c>
      <c r="G155">
        <f t="shared" si="2"/>
        <v>4.5</v>
      </c>
    </row>
    <row r="156" spans="1:14" ht="15.75" thickBot="1" x14ac:dyDescent="0.3">
      <c r="A156" s="4">
        <v>124</v>
      </c>
      <c r="B156" s="14" t="s">
        <v>108</v>
      </c>
      <c r="C156" s="26">
        <v>48.1</v>
      </c>
      <c r="D156" s="26">
        <v>48.3</v>
      </c>
      <c r="E156" s="26">
        <v>3.6</v>
      </c>
      <c r="F156" s="26">
        <v>0</v>
      </c>
      <c r="G156">
        <f t="shared" si="2"/>
        <v>3.6</v>
      </c>
    </row>
    <row r="157" spans="1:14" x14ac:dyDescent="0.25">
      <c r="C157" s="36" t="s">
        <v>224</v>
      </c>
      <c r="D157" s="36" t="s">
        <v>227</v>
      </c>
      <c r="E157" s="36" t="s">
        <v>225</v>
      </c>
      <c r="F157" s="4" t="s">
        <v>226</v>
      </c>
      <c r="G157" t="s">
        <v>228</v>
      </c>
      <c r="I157" s="4"/>
      <c r="J157" s="4"/>
      <c r="K157" s="4"/>
      <c r="L157" s="4"/>
      <c r="M157" s="4"/>
      <c r="N157" s="4"/>
    </row>
    <row r="158" spans="1:14" x14ac:dyDescent="0.25">
      <c r="B158" s="4" t="s">
        <v>229</v>
      </c>
      <c r="C158" s="36">
        <v>27.018065</v>
      </c>
      <c r="D158" s="36">
        <v>47.650323</v>
      </c>
      <c r="E158" s="36">
        <v>22.84</v>
      </c>
      <c r="F158" s="36">
        <v>2.4916130000000001</v>
      </c>
      <c r="G158" s="44">
        <v>25.331613000000001</v>
      </c>
      <c r="I158" s="4"/>
      <c r="J158" s="4"/>
      <c r="K158" s="4"/>
      <c r="L158" s="36">
        <f>SUM(C158:F158)</f>
        <v>100.000001</v>
      </c>
      <c r="M158" s="4"/>
      <c r="N158" s="4"/>
    </row>
    <row r="159" spans="1:14" x14ac:dyDescent="0.25">
      <c r="B159" s="4" t="s">
        <v>230</v>
      </c>
      <c r="C159" s="36">
        <v>11.354983000000001</v>
      </c>
      <c r="D159" s="36">
        <v>10.433097999999999</v>
      </c>
      <c r="E159" s="36">
        <v>11.524461000000001</v>
      </c>
      <c r="F159" s="36">
        <v>3.7858749999999999</v>
      </c>
      <c r="G159" s="44">
        <v>14.228774</v>
      </c>
    </row>
    <row r="160" spans="1:14" x14ac:dyDescent="0.25">
      <c r="B160" s="4" t="s">
        <v>231</v>
      </c>
      <c r="C160" s="36">
        <v>19.350000000000001</v>
      </c>
      <c r="D160" s="36">
        <v>40.4</v>
      </c>
      <c r="E160" s="36">
        <v>13.95</v>
      </c>
      <c r="F160" s="36">
        <v>0</v>
      </c>
      <c r="G160" s="44">
        <v>13.95</v>
      </c>
    </row>
    <row r="161" spans="2:7" x14ac:dyDescent="0.25">
      <c r="B161" s="4" t="s">
        <v>232</v>
      </c>
      <c r="C161" s="36">
        <v>27.2</v>
      </c>
      <c r="D161" s="36">
        <v>47.2</v>
      </c>
      <c r="E161" s="36">
        <v>22</v>
      </c>
      <c r="F161" s="36">
        <v>0</v>
      </c>
      <c r="G161" s="44">
        <v>24.8</v>
      </c>
    </row>
    <row r="162" spans="2:7" x14ac:dyDescent="0.25">
      <c r="B162" s="4" t="s">
        <v>233</v>
      </c>
      <c r="C162" s="36">
        <v>37.200000000000003</v>
      </c>
      <c r="D162" s="36">
        <v>52.95</v>
      </c>
      <c r="E162" s="36">
        <v>29.8</v>
      </c>
      <c r="F162" s="36">
        <v>4.8499999999999996</v>
      </c>
      <c r="G162" s="44">
        <v>35.049999999999997</v>
      </c>
    </row>
    <row r="163" spans="2:7" x14ac:dyDescent="0.25">
      <c r="B163" s="4" t="s">
        <v>234</v>
      </c>
      <c r="C163" s="36">
        <v>25.230471000000001</v>
      </c>
      <c r="D163" s="36">
        <v>46.007860000000001</v>
      </c>
      <c r="E163" s="36">
        <v>21.025725999999999</v>
      </c>
      <c r="F163" s="36">
        <v>1.89561</v>
      </c>
      <c r="G163" s="44">
        <v>23.091604</v>
      </c>
    </row>
    <row r="164" spans="2:7" x14ac:dyDescent="0.25">
      <c r="B164" s="4" t="s">
        <v>235</v>
      </c>
      <c r="C164" s="36">
        <v>28.805658000000001</v>
      </c>
      <c r="D164" s="36">
        <v>49.292785000000002</v>
      </c>
      <c r="E164" s="36">
        <v>24.654274000000001</v>
      </c>
      <c r="F164" s="36">
        <v>3.0876160000000001</v>
      </c>
      <c r="G164" s="44">
        <v>27.571622000000001</v>
      </c>
    </row>
  </sheetData>
  <mergeCells count="58">
    <mergeCell ref="A23:A24"/>
    <mergeCell ref="A2:A3"/>
    <mergeCell ref="A4:A7"/>
    <mergeCell ref="A10:A11"/>
    <mergeCell ref="A16:A20"/>
    <mergeCell ref="A21:A22"/>
    <mergeCell ref="A61:A63"/>
    <mergeCell ref="A30:A31"/>
    <mergeCell ref="A32:A33"/>
    <mergeCell ref="A34:A35"/>
    <mergeCell ref="A36:A38"/>
    <mergeCell ref="A40:A41"/>
    <mergeCell ref="A43:A44"/>
    <mergeCell ref="A45:A46"/>
    <mergeCell ref="A47:A48"/>
    <mergeCell ref="A50:A51"/>
    <mergeCell ref="A53:A54"/>
    <mergeCell ref="A55:A57"/>
    <mergeCell ref="A92:A93"/>
    <mergeCell ref="B2:B3"/>
    <mergeCell ref="B4:B7"/>
    <mergeCell ref="B10:B11"/>
    <mergeCell ref="B16:B20"/>
    <mergeCell ref="B21:B22"/>
    <mergeCell ref="B23:B24"/>
    <mergeCell ref="B30:B31"/>
    <mergeCell ref="B32:B33"/>
    <mergeCell ref="B34:B35"/>
    <mergeCell ref="A66:A67"/>
    <mergeCell ref="A69:A70"/>
    <mergeCell ref="A71:A72"/>
    <mergeCell ref="A73:A75"/>
    <mergeCell ref="A85:A86"/>
    <mergeCell ref="A87:A88"/>
    <mergeCell ref="B71:B72"/>
    <mergeCell ref="B36:B38"/>
    <mergeCell ref="B40:B41"/>
    <mergeCell ref="B43:B44"/>
    <mergeCell ref="B45:B46"/>
    <mergeCell ref="B47:B48"/>
    <mergeCell ref="B50:B51"/>
    <mergeCell ref="B53:B54"/>
    <mergeCell ref="B55:B57"/>
    <mergeCell ref="B61:B63"/>
    <mergeCell ref="B66:B67"/>
    <mergeCell ref="B69:B70"/>
    <mergeCell ref="B144:B145"/>
    <mergeCell ref="B73:B75"/>
    <mergeCell ref="B85:B86"/>
    <mergeCell ref="B87:B88"/>
    <mergeCell ref="B107:B109"/>
    <mergeCell ref="B111:B113"/>
    <mergeCell ref="B114:B115"/>
    <mergeCell ref="B116:B117"/>
    <mergeCell ref="B120:B122"/>
    <mergeCell ref="B134:B136"/>
    <mergeCell ref="B137:B139"/>
    <mergeCell ref="B141:B1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08E1-2952-45CF-8E8F-3DF8AD4AB5F4}">
  <dimension ref="A1:M166"/>
  <sheetViews>
    <sheetView workbookViewId="0">
      <pane ySplit="4" topLeftCell="A158" activePane="bottomLeft" state="frozen"/>
      <selection pane="bottomLeft" activeCell="J166" sqref="J166"/>
    </sheetView>
  </sheetViews>
  <sheetFormatPr defaultRowHeight="15" x14ac:dyDescent="0.25"/>
  <sheetData>
    <row r="1" spans="1:13" x14ac:dyDescent="0.25">
      <c r="A1" t="s">
        <v>236</v>
      </c>
    </row>
    <row r="4" spans="1:13" x14ac:dyDescent="0.25">
      <c r="B4" t="s">
        <v>224</v>
      </c>
      <c r="C4" t="s">
        <v>227</v>
      </c>
      <c r="D4" t="s">
        <v>225</v>
      </c>
      <c r="E4" t="s">
        <v>226</v>
      </c>
      <c r="F4" t="s">
        <v>228</v>
      </c>
      <c r="G4" t="s">
        <v>237</v>
      </c>
      <c r="H4" t="s">
        <v>238</v>
      </c>
      <c r="I4" t="s">
        <v>239</v>
      </c>
      <c r="J4" t="s">
        <v>250</v>
      </c>
      <c r="K4" t="s">
        <v>251</v>
      </c>
      <c r="L4" t="s">
        <v>245</v>
      </c>
      <c r="M4" t="s">
        <v>246</v>
      </c>
    </row>
    <row r="5" spans="1:13" ht="15.75" thickBot="1" x14ac:dyDescent="0.3">
      <c r="A5" s="67" t="s">
        <v>229</v>
      </c>
      <c r="B5" s="68">
        <v>27.018065</v>
      </c>
      <c r="C5" s="68">
        <v>47.650323</v>
      </c>
      <c r="D5" s="68">
        <v>22.84</v>
      </c>
      <c r="E5" s="68">
        <v>2.4916130000000001</v>
      </c>
      <c r="F5" s="64">
        <v>25.331613000000001</v>
      </c>
      <c r="G5" s="64">
        <f>C5/(100-B5)*100</f>
        <v>65.290572249146322</v>
      </c>
      <c r="H5" s="64">
        <f>D5/(100-B5)*100</f>
        <v>31.295415776520592</v>
      </c>
      <c r="I5" s="64">
        <f>E5/(100-B5)*100</f>
        <v>3.4140133445351926</v>
      </c>
      <c r="J5" s="63">
        <v>1.7848227156609293E-2</v>
      </c>
      <c r="K5" s="63">
        <v>1.5132036624507541</v>
      </c>
      <c r="L5" s="64">
        <v>5.1769200159143498E-2</v>
      </c>
      <c r="M5" s="64">
        <v>0.33631158348840101</v>
      </c>
    </row>
    <row r="6" spans="1:13" x14ac:dyDescent="0.25">
      <c r="A6" s="82" t="s">
        <v>2</v>
      </c>
      <c r="B6" s="57">
        <v>0.1</v>
      </c>
      <c r="C6" s="57">
        <v>43.5</v>
      </c>
      <c r="D6" s="57">
        <v>42.7</v>
      </c>
      <c r="E6" s="57">
        <v>13.7</v>
      </c>
      <c r="F6">
        <f>D6+E6</f>
        <v>56.400000000000006</v>
      </c>
      <c r="G6" s="44">
        <f t="shared" ref="G6:G69" si="0">C6/(100-B6)*100</f>
        <v>43.543543543543542</v>
      </c>
      <c r="H6" s="44">
        <f t="shared" ref="H6:H69" si="1">D6/(100-B6)*100</f>
        <v>42.742742742742749</v>
      </c>
      <c r="I6" s="44">
        <f t="shared" ref="I6:I69" si="2">E6/(100-B6)*100</f>
        <v>13.713713713713712</v>
      </c>
      <c r="J6" s="42">
        <v>9.3693756585940223E-3</v>
      </c>
      <c r="K6" s="42">
        <v>1.3933016381903212</v>
      </c>
      <c r="L6" s="44">
        <v>6.9659601086946799E-2</v>
      </c>
      <c r="M6" s="44">
        <v>0.34595346554552597</v>
      </c>
    </row>
    <row r="7" spans="1:13" ht="15.75" thickBot="1" x14ac:dyDescent="0.3">
      <c r="A7" s="84"/>
      <c r="B7" s="58">
        <v>21.7</v>
      </c>
      <c r="C7" s="58">
        <v>54</v>
      </c>
      <c r="D7" s="58">
        <v>20</v>
      </c>
      <c r="E7" s="58">
        <v>4.3</v>
      </c>
      <c r="F7">
        <f t="shared" ref="F7:F70" si="3">D7+E7</f>
        <v>24.3</v>
      </c>
      <c r="G7" s="44">
        <f t="shared" si="0"/>
        <v>68.965517241379317</v>
      </c>
      <c r="H7" s="44">
        <f t="shared" si="1"/>
        <v>25.542784163473819</v>
      </c>
      <c r="I7" s="44">
        <f t="shared" si="2"/>
        <v>5.4916985951468709</v>
      </c>
      <c r="J7" s="42">
        <v>1.9162873037039174E-2</v>
      </c>
      <c r="K7" s="42">
        <v>1.5176331554775175</v>
      </c>
      <c r="L7" s="44">
        <v>5.4796984691102502E-2</v>
      </c>
      <c r="M7" s="44">
        <v>0.34085148726846898</v>
      </c>
    </row>
    <row r="8" spans="1:13" x14ac:dyDescent="0.25">
      <c r="A8" s="82" t="s">
        <v>3</v>
      </c>
      <c r="B8" s="57">
        <v>10.4</v>
      </c>
      <c r="C8" s="57">
        <v>75.5</v>
      </c>
      <c r="D8" s="57">
        <v>14.1</v>
      </c>
      <c r="E8" s="57">
        <v>0</v>
      </c>
      <c r="F8">
        <f t="shared" si="3"/>
        <v>14.1</v>
      </c>
      <c r="G8" s="44">
        <f t="shared" si="0"/>
        <v>84.263392857142861</v>
      </c>
      <c r="H8" s="44">
        <f t="shared" si="1"/>
        <v>15.736607142857142</v>
      </c>
      <c r="I8" s="44">
        <f t="shared" si="2"/>
        <v>0</v>
      </c>
      <c r="J8" s="42">
        <v>2.8914850815249703E-2</v>
      </c>
      <c r="K8" s="42">
        <v>2.0345140262602333</v>
      </c>
      <c r="L8" s="44">
        <v>4.6006793021061899E-2</v>
      </c>
      <c r="M8" s="44">
        <v>0.33818312273747198</v>
      </c>
    </row>
    <row r="9" spans="1:13" x14ac:dyDescent="0.25">
      <c r="A9" s="83"/>
      <c r="B9" s="24">
        <v>17.5</v>
      </c>
      <c r="C9" s="24">
        <v>48.1</v>
      </c>
      <c r="D9" s="24">
        <v>27.2</v>
      </c>
      <c r="E9" s="24">
        <v>7.2</v>
      </c>
      <c r="F9">
        <f t="shared" si="3"/>
        <v>34.4</v>
      </c>
      <c r="G9" s="44">
        <f t="shared" si="0"/>
        <v>58.303030303030297</v>
      </c>
      <c r="H9" s="44">
        <f t="shared" si="1"/>
        <v>32.969696969696969</v>
      </c>
      <c r="I9" s="44">
        <f t="shared" si="2"/>
        <v>8.7272727272727284</v>
      </c>
      <c r="J9" s="42">
        <v>1.4412942953386578E-2</v>
      </c>
      <c r="K9" s="42">
        <v>1.4304885974468013</v>
      </c>
      <c r="L9" s="44">
        <v>6.0304008807633099E-2</v>
      </c>
      <c r="M9" s="44">
        <v>0.34225366262809098</v>
      </c>
    </row>
    <row r="10" spans="1:13" x14ac:dyDescent="0.25">
      <c r="A10" s="83"/>
      <c r="B10" s="24">
        <v>2</v>
      </c>
      <c r="C10" s="24">
        <v>71.3</v>
      </c>
      <c r="D10" s="24">
        <v>26.7</v>
      </c>
      <c r="E10" s="24">
        <v>0</v>
      </c>
      <c r="F10">
        <f t="shared" si="3"/>
        <v>26.7</v>
      </c>
      <c r="G10" s="44">
        <f t="shared" si="0"/>
        <v>72.755102040816325</v>
      </c>
      <c r="H10" s="44">
        <f t="shared" si="1"/>
        <v>27.244897959183671</v>
      </c>
      <c r="I10" s="44">
        <f t="shared" si="2"/>
        <v>0</v>
      </c>
      <c r="J10" s="42">
        <v>2.2165275688611642E-2</v>
      </c>
      <c r="K10" s="42">
        <v>1.6443581418258375</v>
      </c>
      <c r="L10" s="44">
        <v>4.6691123951555003E-2</v>
      </c>
      <c r="M10" s="44">
        <v>0.33356435231340298</v>
      </c>
    </row>
    <row r="11" spans="1:13" ht="15.75" thickBot="1" x14ac:dyDescent="0.3">
      <c r="A11" s="84"/>
      <c r="B11" s="58">
        <v>17</v>
      </c>
      <c r="C11" s="58">
        <v>52</v>
      </c>
      <c r="D11" s="58">
        <v>23.9</v>
      </c>
      <c r="E11" s="58">
        <v>7.1</v>
      </c>
      <c r="F11">
        <f t="shared" si="3"/>
        <v>31</v>
      </c>
      <c r="G11" s="44">
        <f t="shared" si="0"/>
        <v>62.650602409638559</v>
      </c>
      <c r="H11" s="44">
        <f t="shared" si="1"/>
        <v>28.795180722891565</v>
      </c>
      <c r="I11" s="44">
        <f t="shared" si="2"/>
        <v>8.5542168674698793</v>
      </c>
      <c r="J11" s="42">
        <v>1.6086931922620062E-2</v>
      </c>
      <c r="K11" s="42">
        <v>1.4451116684928349</v>
      </c>
      <c r="L11" s="44">
        <v>5.9928034807276098E-2</v>
      </c>
      <c r="M11" s="44">
        <v>0.34340156796185201</v>
      </c>
    </row>
    <row r="12" spans="1:13" ht="15.75" thickBot="1" x14ac:dyDescent="0.3">
      <c r="A12" s="11" t="s">
        <v>4</v>
      </c>
      <c r="B12" s="25">
        <v>15</v>
      </c>
      <c r="C12" s="25">
        <v>74</v>
      </c>
      <c r="D12" s="25">
        <v>11</v>
      </c>
      <c r="E12" s="25">
        <v>0</v>
      </c>
      <c r="F12">
        <f t="shared" si="3"/>
        <v>11</v>
      </c>
      <c r="G12" s="44">
        <f t="shared" si="0"/>
        <v>87.058823529411768</v>
      </c>
      <c r="H12" s="44">
        <f t="shared" si="1"/>
        <v>12.941176470588237</v>
      </c>
      <c r="I12" s="44">
        <f t="shared" si="2"/>
        <v>0</v>
      </c>
      <c r="J12" s="42">
        <v>3.0731681441533223E-2</v>
      </c>
      <c r="K12" s="42">
        <v>2.2375408991510364</v>
      </c>
      <c r="L12" s="44">
        <v>4.5856977942850097E-2</v>
      </c>
      <c r="M12" s="44">
        <v>0.33932392295681701</v>
      </c>
    </row>
    <row r="13" spans="1:13" ht="15.75" thickBot="1" x14ac:dyDescent="0.3">
      <c r="A13" s="11" t="s">
        <v>5</v>
      </c>
      <c r="B13" s="25">
        <v>12.5</v>
      </c>
      <c r="C13" s="25">
        <v>73.7</v>
      </c>
      <c r="D13" s="25">
        <v>13.8</v>
      </c>
      <c r="E13" s="25">
        <v>0</v>
      </c>
      <c r="F13">
        <f t="shared" si="3"/>
        <v>13.8</v>
      </c>
      <c r="G13" s="44">
        <f t="shared" si="0"/>
        <v>84.228571428571428</v>
      </c>
      <c r="H13" s="44">
        <f t="shared" si="1"/>
        <v>15.771428571428572</v>
      </c>
      <c r="I13" s="44">
        <f t="shared" si="2"/>
        <v>0</v>
      </c>
      <c r="J13" s="42">
        <v>2.8895726392803928E-2</v>
      </c>
      <c r="K13" s="42">
        <v>2.032680916714293</v>
      </c>
      <c r="L13" s="44">
        <v>4.60084845628492E-2</v>
      </c>
      <c r="M13" s="44">
        <v>0.33817069448554099</v>
      </c>
    </row>
    <row r="14" spans="1:13" ht="15.75" thickBot="1" x14ac:dyDescent="0.3">
      <c r="A14" s="82" t="s">
        <v>6</v>
      </c>
      <c r="B14" s="57">
        <v>2.5</v>
      </c>
      <c r="C14" s="57">
        <v>62.6</v>
      </c>
      <c r="D14" s="57">
        <v>34.9</v>
      </c>
      <c r="E14" s="25">
        <v>0</v>
      </c>
      <c r="F14">
        <f t="shared" si="3"/>
        <v>34.9</v>
      </c>
      <c r="G14" s="44">
        <f t="shared" si="0"/>
        <v>64.205128205128204</v>
      </c>
      <c r="H14" s="44">
        <f t="shared" si="1"/>
        <v>35.794871794871788</v>
      </c>
      <c r="I14" s="44">
        <f t="shared" si="2"/>
        <v>0</v>
      </c>
      <c r="J14" s="42">
        <v>1.7825129015768271E-2</v>
      </c>
      <c r="K14" s="42">
        <v>1.5501238760256604</v>
      </c>
      <c r="L14" s="44">
        <v>4.7117326948591998E-2</v>
      </c>
      <c r="M14" s="44">
        <v>0.33120399002191903</v>
      </c>
    </row>
    <row r="15" spans="1:13" ht="15.75" thickBot="1" x14ac:dyDescent="0.3">
      <c r="A15" s="84"/>
      <c r="B15" s="58">
        <v>14.2</v>
      </c>
      <c r="C15" s="58">
        <v>57.8</v>
      </c>
      <c r="D15" s="58">
        <v>28</v>
      </c>
      <c r="E15" s="25">
        <v>0</v>
      </c>
      <c r="F15">
        <f t="shared" si="3"/>
        <v>28</v>
      </c>
      <c r="G15" s="44">
        <f t="shared" si="0"/>
        <v>67.365967365967364</v>
      </c>
      <c r="H15" s="44">
        <f t="shared" si="1"/>
        <v>32.634032634032636</v>
      </c>
      <c r="I15" s="44">
        <f t="shared" si="2"/>
        <v>0</v>
      </c>
      <c r="J15" s="42">
        <v>1.9367955950317019E-2</v>
      </c>
      <c r="K15" s="42">
        <v>1.5751286672382752</v>
      </c>
      <c r="L15" s="44">
        <v>4.6969901814730403E-2</v>
      </c>
      <c r="M15" s="44">
        <v>0.33192424150086403</v>
      </c>
    </row>
    <row r="16" spans="1:13" ht="15.75" thickBot="1" x14ac:dyDescent="0.3">
      <c r="A16" s="11" t="s">
        <v>7</v>
      </c>
      <c r="B16" s="25">
        <v>39.9</v>
      </c>
      <c r="C16" s="25">
        <v>38.299999999999997</v>
      </c>
      <c r="D16" s="25">
        <v>21.8</v>
      </c>
      <c r="E16" s="25">
        <v>0</v>
      </c>
      <c r="F16">
        <f t="shared" si="3"/>
        <v>21.8</v>
      </c>
      <c r="G16" s="44">
        <f t="shared" si="0"/>
        <v>63.727121464226286</v>
      </c>
      <c r="H16" s="44">
        <f t="shared" si="1"/>
        <v>36.272878535773714</v>
      </c>
      <c r="I16" s="44">
        <f t="shared" si="2"/>
        <v>0</v>
      </c>
      <c r="J16" s="42">
        <v>1.759685520546796E-2</v>
      </c>
      <c r="K16" s="42">
        <v>1.5470931245811146</v>
      </c>
      <c r="L16" s="44">
        <v>4.7138943893359798E-2</v>
      </c>
      <c r="M16" s="44">
        <v>0.33111096164999998</v>
      </c>
    </row>
    <row r="17" spans="1:13" ht="15.75" thickBot="1" x14ac:dyDescent="0.3">
      <c r="A17" s="11" t="s">
        <v>8</v>
      </c>
      <c r="B17" s="25">
        <v>32.6</v>
      </c>
      <c r="C17" s="25">
        <v>52.9</v>
      </c>
      <c r="D17" s="25">
        <v>14.5</v>
      </c>
      <c r="E17" s="25">
        <v>0</v>
      </c>
      <c r="F17">
        <f t="shared" si="3"/>
        <v>14.5</v>
      </c>
      <c r="G17" s="44">
        <f t="shared" si="0"/>
        <v>78.486646884272986</v>
      </c>
      <c r="H17" s="44">
        <f t="shared" si="1"/>
        <v>21.513353115727003</v>
      </c>
      <c r="I17" s="44">
        <f t="shared" si="2"/>
        <v>0</v>
      </c>
      <c r="J17" s="42">
        <v>2.5385693416613394E-2</v>
      </c>
      <c r="K17" s="42">
        <v>1.7779950744586464</v>
      </c>
      <c r="L17" s="44">
        <v>4.6353488849706699E-2</v>
      </c>
      <c r="M17" s="44">
        <v>0.33576625046852798</v>
      </c>
    </row>
    <row r="18" spans="1:13" ht="15.75" thickBot="1" x14ac:dyDescent="0.3">
      <c r="A18" s="11" t="s">
        <v>9</v>
      </c>
      <c r="B18" s="25">
        <v>40.4</v>
      </c>
      <c r="C18" s="25">
        <v>55.1</v>
      </c>
      <c r="D18" s="25">
        <v>4.5</v>
      </c>
      <c r="E18" s="25">
        <v>0</v>
      </c>
      <c r="F18">
        <f t="shared" si="3"/>
        <v>4.5</v>
      </c>
      <c r="G18" s="44">
        <f t="shared" si="0"/>
        <v>92.449664429530202</v>
      </c>
      <c r="H18" s="44">
        <f t="shared" si="1"/>
        <v>7.550335570469799</v>
      </c>
      <c r="I18" s="44">
        <f t="shared" si="2"/>
        <v>0</v>
      </c>
      <c r="J18" s="42">
        <v>3.4292613264559214E-2</v>
      </c>
      <c r="K18" s="42">
        <v>2.8511218035002943</v>
      </c>
      <c r="L18" s="44">
        <v>4.5595930749718398E-2</v>
      </c>
      <c r="M18" s="44">
        <v>0.341485354372636</v>
      </c>
    </row>
    <row r="19" spans="1:13" ht="15.75" thickBot="1" x14ac:dyDescent="0.3">
      <c r="A19" s="11" t="s">
        <v>10</v>
      </c>
      <c r="B19" s="25">
        <v>17.100000000000001</v>
      </c>
      <c r="C19" s="25">
        <v>49.2</v>
      </c>
      <c r="D19" s="25">
        <v>27.3</v>
      </c>
      <c r="E19" s="25">
        <v>6.4</v>
      </c>
      <c r="F19">
        <f t="shared" si="3"/>
        <v>33.700000000000003</v>
      </c>
      <c r="G19" s="44">
        <f t="shared" si="0"/>
        <v>59.348612786489738</v>
      </c>
      <c r="H19" s="44">
        <f t="shared" si="1"/>
        <v>32.931242460796142</v>
      </c>
      <c r="I19" s="44">
        <f t="shared" si="2"/>
        <v>7.7201447527141127</v>
      </c>
      <c r="J19" s="42">
        <v>1.4892017154434943E-2</v>
      </c>
      <c r="K19" s="42">
        <v>1.4420944056978207</v>
      </c>
      <c r="L19" s="44">
        <v>5.86023314387598E-2</v>
      </c>
      <c r="M19" s="44">
        <v>0.34103657358725198</v>
      </c>
    </row>
    <row r="20" spans="1:13" x14ac:dyDescent="0.25">
      <c r="A20" s="82" t="s">
        <v>11</v>
      </c>
      <c r="B20" s="57">
        <v>24.4</v>
      </c>
      <c r="C20" s="57">
        <v>50.8</v>
      </c>
      <c r="D20" s="57">
        <v>24.8</v>
      </c>
      <c r="E20" s="57">
        <v>0</v>
      </c>
      <c r="F20">
        <f t="shared" si="3"/>
        <v>24.8</v>
      </c>
      <c r="G20" s="44">
        <f t="shared" si="0"/>
        <v>67.195767195767203</v>
      </c>
      <c r="H20" s="44">
        <f t="shared" si="1"/>
        <v>32.804232804232811</v>
      </c>
      <c r="I20" s="44">
        <f t="shared" si="2"/>
        <v>0</v>
      </c>
      <c r="J20" s="42">
        <v>1.9283165760251558E-2</v>
      </c>
      <c r="K20" s="42">
        <v>1.5735380881436525</v>
      </c>
      <c r="L20" s="44">
        <v>4.6978092983545799E-2</v>
      </c>
      <c r="M20" s="44">
        <v>0.33188077342947397</v>
      </c>
    </row>
    <row r="21" spans="1:13" x14ac:dyDescent="0.25">
      <c r="A21" s="83"/>
      <c r="B21" s="24">
        <v>5.7</v>
      </c>
      <c r="C21" s="24">
        <v>34.299999999999997</v>
      </c>
      <c r="D21" s="24">
        <v>44.4</v>
      </c>
      <c r="E21" s="24">
        <v>15.6</v>
      </c>
      <c r="F21">
        <f t="shared" si="3"/>
        <v>60</v>
      </c>
      <c r="G21" s="44">
        <f t="shared" si="0"/>
        <v>36.373276776246023</v>
      </c>
      <c r="H21" s="44">
        <f t="shared" si="1"/>
        <v>47.083775185577942</v>
      </c>
      <c r="I21" s="44">
        <f t="shared" si="2"/>
        <v>16.542948038176032</v>
      </c>
      <c r="J21" s="42">
        <v>7.6899968417562924E-3</v>
      </c>
      <c r="K21" s="42">
        <v>1.3868952653835092</v>
      </c>
      <c r="L21" s="44">
        <v>7.5509876893695704E-2</v>
      </c>
      <c r="M21" s="44">
        <v>0.34997941591283799</v>
      </c>
    </row>
    <row r="22" spans="1:13" x14ac:dyDescent="0.25">
      <c r="A22" s="83"/>
      <c r="B22" s="24">
        <v>8</v>
      </c>
      <c r="C22" s="24">
        <v>39.700000000000003</v>
      </c>
      <c r="D22" s="24">
        <v>40.299999999999997</v>
      </c>
      <c r="E22" s="24">
        <v>12</v>
      </c>
      <c r="F22">
        <f t="shared" si="3"/>
        <v>52.3</v>
      </c>
      <c r="G22" s="44">
        <f t="shared" si="0"/>
        <v>43.152173913043477</v>
      </c>
      <c r="H22" s="44">
        <f t="shared" si="1"/>
        <v>43.804347826086953</v>
      </c>
      <c r="I22" s="44">
        <f t="shared" si="2"/>
        <v>13.043478260869565</v>
      </c>
      <c r="J22" s="42">
        <v>9.2622061729245499E-3</v>
      </c>
      <c r="K22" s="42">
        <v>1.3993972317751413</v>
      </c>
      <c r="L22" s="44">
        <v>6.8409299829083003E-2</v>
      </c>
      <c r="M22" s="44">
        <v>0.34509149876492601</v>
      </c>
    </row>
    <row r="23" spans="1:13" x14ac:dyDescent="0.25">
      <c r="A23" s="83"/>
      <c r="B23" s="24">
        <v>12</v>
      </c>
      <c r="C23" s="24">
        <v>53.7</v>
      </c>
      <c r="D23" s="24">
        <v>29.3</v>
      </c>
      <c r="E23" s="24">
        <v>5</v>
      </c>
      <c r="F23">
        <f t="shared" si="3"/>
        <v>34.299999999999997</v>
      </c>
      <c r="G23" s="44">
        <f t="shared" si="0"/>
        <v>61.022727272727273</v>
      </c>
      <c r="H23" s="44">
        <f t="shared" si="1"/>
        <v>33.295454545454547</v>
      </c>
      <c r="I23" s="44">
        <f t="shared" si="2"/>
        <v>5.6818181818181817</v>
      </c>
      <c r="J23" s="42">
        <v>1.574260134794421E-2</v>
      </c>
      <c r="K23" s="42">
        <v>1.4670239519147874</v>
      </c>
      <c r="L23" s="44">
        <v>5.5305231847330903E-2</v>
      </c>
      <c r="M23" s="44">
        <v>0.33846364684081398</v>
      </c>
    </row>
    <row r="24" spans="1:13" ht="15.75" thickBot="1" x14ac:dyDescent="0.3">
      <c r="A24" s="84"/>
      <c r="B24" s="58">
        <v>14.7</v>
      </c>
      <c r="C24" s="58">
        <v>56.6</v>
      </c>
      <c r="D24" s="58">
        <v>23.7</v>
      </c>
      <c r="E24" s="58">
        <v>5</v>
      </c>
      <c r="F24">
        <f t="shared" si="3"/>
        <v>28.7</v>
      </c>
      <c r="G24" s="44">
        <f t="shared" si="0"/>
        <v>66.354044548651828</v>
      </c>
      <c r="H24" s="44">
        <f t="shared" si="1"/>
        <v>27.784290738569755</v>
      </c>
      <c r="I24" s="44">
        <f t="shared" si="2"/>
        <v>5.8616647127784294</v>
      </c>
      <c r="J24" s="42">
        <v>1.7955830666530677E-2</v>
      </c>
      <c r="K24" s="42">
        <v>1.4922869865528958</v>
      </c>
      <c r="L24" s="44">
        <v>5.5458441311269598E-2</v>
      </c>
      <c r="M24" s="44">
        <v>0.34045952122183798</v>
      </c>
    </row>
    <row r="25" spans="1:13" x14ac:dyDescent="0.25">
      <c r="A25" s="82" t="s">
        <v>13</v>
      </c>
      <c r="B25" s="57">
        <v>11.9</v>
      </c>
      <c r="C25" s="57">
        <v>48.8</v>
      </c>
      <c r="D25" s="57">
        <v>29.6</v>
      </c>
      <c r="E25" s="57">
        <v>9.6999999999999993</v>
      </c>
      <c r="F25">
        <f t="shared" si="3"/>
        <v>39.299999999999997</v>
      </c>
      <c r="G25" s="44">
        <f t="shared" si="0"/>
        <v>55.391600454029508</v>
      </c>
      <c r="H25" s="44">
        <f t="shared" si="1"/>
        <v>33.59818388195233</v>
      </c>
      <c r="I25" s="44">
        <f t="shared" si="2"/>
        <v>11.01021566401816</v>
      </c>
      <c r="J25" s="42">
        <v>1.3216257774624032E-2</v>
      </c>
      <c r="K25" s="42">
        <v>1.4068174106130837</v>
      </c>
      <c r="L25" s="44">
        <v>6.4315284800713093E-2</v>
      </c>
      <c r="M25" s="44">
        <v>0.34483558241580797</v>
      </c>
    </row>
    <row r="26" spans="1:13" ht="15.75" thickBot="1" x14ac:dyDescent="0.3">
      <c r="A26" s="84"/>
      <c r="B26" s="58">
        <v>29.1</v>
      </c>
      <c r="C26" s="58">
        <v>55.8</v>
      </c>
      <c r="D26" s="58">
        <v>15.1</v>
      </c>
      <c r="E26" s="58">
        <v>0</v>
      </c>
      <c r="F26">
        <f t="shared" si="3"/>
        <v>15.1</v>
      </c>
      <c r="G26" s="44">
        <f t="shared" si="0"/>
        <v>78.702397743300409</v>
      </c>
      <c r="H26" s="44">
        <f t="shared" si="1"/>
        <v>21.297602256699573</v>
      </c>
      <c r="I26" s="44">
        <f t="shared" si="2"/>
        <v>0</v>
      </c>
      <c r="J26" s="42">
        <v>2.5508928609533181E-2</v>
      </c>
      <c r="K26" s="42">
        <v>1.784657506728637</v>
      </c>
      <c r="L26" s="44">
        <v>4.6340580526466599E-2</v>
      </c>
      <c r="M26" s="44">
        <v>0.33585295914299501</v>
      </c>
    </row>
    <row r="27" spans="1:13" x14ac:dyDescent="0.25">
      <c r="A27" s="82" t="s">
        <v>14</v>
      </c>
      <c r="B27" s="57">
        <v>13.4</v>
      </c>
      <c r="C27" s="57">
        <v>36.200000000000003</v>
      </c>
      <c r="D27" s="57">
        <v>38.700000000000003</v>
      </c>
      <c r="E27" s="57">
        <v>11.7</v>
      </c>
      <c r="F27">
        <f t="shared" si="3"/>
        <v>50.400000000000006</v>
      </c>
      <c r="G27" s="44">
        <f t="shared" si="0"/>
        <v>41.801385681293304</v>
      </c>
      <c r="H27" s="44">
        <f t="shared" si="1"/>
        <v>44.688221709006939</v>
      </c>
      <c r="I27" s="44">
        <f t="shared" si="2"/>
        <v>13.510392609699769</v>
      </c>
      <c r="J27" s="42">
        <v>8.9040440568201457E-3</v>
      </c>
      <c r="K27" s="42">
        <v>1.3983506994959161</v>
      </c>
      <c r="L27" s="44">
        <v>6.9356162810122995E-2</v>
      </c>
      <c r="M27" s="44">
        <v>0.34567299853704198</v>
      </c>
    </row>
    <row r="28" spans="1:13" ht="15.75" thickBot="1" x14ac:dyDescent="0.3">
      <c r="A28" s="84"/>
      <c r="B28" s="58">
        <v>25.9</v>
      </c>
      <c r="C28" s="58">
        <v>56.4</v>
      </c>
      <c r="D28" s="58">
        <v>17.7</v>
      </c>
      <c r="E28" s="58">
        <v>0</v>
      </c>
      <c r="F28">
        <f t="shared" si="3"/>
        <v>17.7</v>
      </c>
      <c r="G28" s="44">
        <f t="shared" si="0"/>
        <v>76.113360323886653</v>
      </c>
      <c r="H28" s="44">
        <f t="shared" si="1"/>
        <v>23.886639676113361</v>
      </c>
      <c r="I28" s="44">
        <f t="shared" si="2"/>
        <v>0</v>
      </c>
      <c r="J28" s="42">
        <v>2.4015383657909992E-2</v>
      </c>
      <c r="K28" s="42">
        <v>1.7123509667075223</v>
      </c>
      <c r="L28" s="44">
        <v>4.6497963294370198E-2</v>
      </c>
      <c r="M28" s="44">
        <v>0.33480761469433401</v>
      </c>
    </row>
    <row r="29" spans="1:13" ht="15.75" thickBot="1" x14ac:dyDescent="0.3">
      <c r="A29" s="11" t="s">
        <v>15</v>
      </c>
      <c r="B29" s="25">
        <v>13.8</v>
      </c>
      <c r="C29" s="25">
        <v>36.200000000000003</v>
      </c>
      <c r="D29" s="25">
        <v>38.299999999999997</v>
      </c>
      <c r="E29" s="25">
        <v>11.7</v>
      </c>
      <c r="F29">
        <f t="shared" si="3"/>
        <v>50</v>
      </c>
      <c r="G29" s="44">
        <f t="shared" si="0"/>
        <v>41.995359628770302</v>
      </c>
      <c r="H29" s="44">
        <f t="shared" si="1"/>
        <v>44.431554524361943</v>
      </c>
      <c r="I29" s="44">
        <f t="shared" si="2"/>
        <v>13.573085846867746</v>
      </c>
      <c r="J29" s="42">
        <v>8.9559068925844833E-3</v>
      </c>
      <c r="K29" s="42">
        <v>1.3974547885112927</v>
      </c>
      <c r="L29" s="44">
        <v>6.9460832144882301E-2</v>
      </c>
      <c r="M29" s="44">
        <v>0.34573858005038699</v>
      </c>
    </row>
    <row r="30" spans="1:13" ht="15.75" thickBot="1" x14ac:dyDescent="0.3">
      <c r="A30" s="11" t="s">
        <v>16</v>
      </c>
      <c r="B30" s="25">
        <v>26.9</v>
      </c>
      <c r="C30" s="25">
        <v>47.6</v>
      </c>
      <c r="D30" s="25">
        <v>21.8</v>
      </c>
      <c r="E30" s="25">
        <v>3.7</v>
      </c>
      <c r="F30">
        <f t="shared" si="3"/>
        <v>25.5</v>
      </c>
      <c r="G30" s="44">
        <f t="shared" si="0"/>
        <v>65.116279069767444</v>
      </c>
      <c r="H30" s="44">
        <f t="shared" si="1"/>
        <v>29.822161422708621</v>
      </c>
      <c r="I30" s="44">
        <f t="shared" si="2"/>
        <v>5.0615595075239401</v>
      </c>
      <c r="J30" s="42">
        <v>1.753982454486747E-2</v>
      </c>
      <c r="K30" s="42">
        <v>1.4931016296386965</v>
      </c>
      <c r="L30" s="44">
        <v>5.4246883069756398E-2</v>
      </c>
      <c r="M30" s="44">
        <v>0.33876337428064801</v>
      </c>
    </row>
    <row r="31" spans="1:13" x14ac:dyDescent="0.25">
      <c r="A31" s="59" t="s">
        <v>17</v>
      </c>
      <c r="B31" s="57">
        <v>43.6</v>
      </c>
      <c r="C31" s="57">
        <v>51.9</v>
      </c>
      <c r="D31" s="57">
        <v>4.5</v>
      </c>
      <c r="E31" s="57">
        <v>0</v>
      </c>
      <c r="F31">
        <f t="shared" si="3"/>
        <v>4.5</v>
      </c>
      <c r="G31" s="44">
        <f t="shared" si="0"/>
        <v>92.021276595744681</v>
      </c>
      <c r="H31" s="44">
        <f t="shared" si="1"/>
        <v>7.9787234042553195</v>
      </c>
      <c r="I31" s="44">
        <f t="shared" si="2"/>
        <v>0</v>
      </c>
      <c r="J31" s="42">
        <v>3.4010701101696239E-2</v>
      </c>
      <c r="K31" s="42">
        <v>2.7893979875295152</v>
      </c>
      <c r="L31" s="44">
        <v>4.5616605908824E-2</v>
      </c>
      <c r="M31" s="44">
        <v>0.341310424229117</v>
      </c>
    </row>
    <row r="32" spans="1:13" ht="15.75" thickBot="1" x14ac:dyDescent="0.3">
      <c r="A32" s="13" t="s">
        <v>17</v>
      </c>
      <c r="B32" s="58">
        <v>43.6</v>
      </c>
      <c r="C32" s="58">
        <v>51.9</v>
      </c>
      <c r="D32" s="58">
        <v>4.5</v>
      </c>
      <c r="E32" s="58">
        <v>0</v>
      </c>
      <c r="F32">
        <f t="shared" si="3"/>
        <v>4.5</v>
      </c>
      <c r="G32" s="44">
        <f t="shared" si="0"/>
        <v>92.021276595744681</v>
      </c>
      <c r="H32" s="44">
        <f t="shared" si="1"/>
        <v>7.9787234042553195</v>
      </c>
      <c r="I32" s="44">
        <f t="shared" si="2"/>
        <v>0</v>
      </c>
      <c r="J32" s="42">
        <v>3.4010701101696239E-2</v>
      </c>
      <c r="K32" s="42">
        <v>2.7893979875295152</v>
      </c>
      <c r="L32" s="44">
        <v>4.5616605908824E-2</v>
      </c>
      <c r="M32" s="44">
        <v>0.341310424229117</v>
      </c>
    </row>
    <row r="33" spans="1:13" ht="15.75" thickBot="1" x14ac:dyDescent="0.3">
      <c r="A33" s="11" t="s">
        <v>18</v>
      </c>
      <c r="B33" s="25">
        <v>4.8</v>
      </c>
      <c r="C33" s="25">
        <v>27.1</v>
      </c>
      <c r="D33" s="25">
        <v>54</v>
      </c>
      <c r="E33" s="25">
        <v>14.1</v>
      </c>
      <c r="F33">
        <f t="shared" si="3"/>
        <v>68.099999999999994</v>
      </c>
      <c r="G33" s="44">
        <f t="shared" si="0"/>
        <v>28.466386554621849</v>
      </c>
      <c r="H33" s="44">
        <f t="shared" si="1"/>
        <v>56.72268907563025</v>
      </c>
      <c r="I33" s="44">
        <f t="shared" si="2"/>
        <v>14.8109243697479</v>
      </c>
      <c r="J33" s="42">
        <v>6.2847355761956715E-3</v>
      </c>
      <c r="K33" s="42">
        <v>1.4223335940844708</v>
      </c>
      <c r="L33" s="44">
        <v>7.2607969615013201E-2</v>
      </c>
      <c r="M33" s="44">
        <v>0.35206250152282498</v>
      </c>
    </row>
    <row r="34" spans="1:13" x14ac:dyDescent="0.25">
      <c r="A34" s="82" t="s">
        <v>19</v>
      </c>
      <c r="B34" s="57">
        <v>25.8</v>
      </c>
      <c r="C34" s="57">
        <v>39.4</v>
      </c>
      <c r="D34" s="57">
        <v>28.4</v>
      </c>
      <c r="E34" s="57">
        <v>6.4</v>
      </c>
      <c r="F34">
        <f t="shared" si="3"/>
        <v>34.799999999999997</v>
      </c>
      <c r="G34" s="44">
        <f t="shared" si="0"/>
        <v>53.099730458221018</v>
      </c>
      <c r="H34" s="44">
        <f t="shared" si="1"/>
        <v>38.274932614555254</v>
      </c>
      <c r="I34" s="44">
        <f t="shared" si="2"/>
        <v>8.6253369272237208</v>
      </c>
      <c r="J34" s="42">
        <v>1.2519087131306131E-2</v>
      </c>
      <c r="K34" s="42">
        <v>1.4259986691707953</v>
      </c>
      <c r="L34" s="44">
        <v>6.02282646776875E-2</v>
      </c>
      <c r="M34" s="44">
        <v>0.34075228931176499</v>
      </c>
    </row>
    <row r="35" spans="1:13" ht="15.75" thickBot="1" x14ac:dyDescent="0.3">
      <c r="A35" s="84"/>
      <c r="B35" s="58">
        <v>41.1</v>
      </c>
      <c r="C35" s="58">
        <v>46.1</v>
      </c>
      <c r="D35" s="58">
        <v>12.8</v>
      </c>
      <c r="E35" s="58">
        <v>0</v>
      </c>
      <c r="F35">
        <f t="shared" si="3"/>
        <v>12.8</v>
      </c>
      <c r="G35" s="44">
        <f t="shared" si="0"/>
        <v>78.26825127334466</v>
      </c>
      <c r="H35" s="44">
        <f t="shared" si="1"/>
        <v>21.731748726655351</v>
      </c>
      <c r="I35" s="44">
        <f t="shared" si="2"/>
        <v>0</v>
      </c>
      <c r="J35" s="42">
        <v>2.5257000211603906E-2</v>
      </c>
      <c r="K35" s="42">
        <v>1.7711804780280047</v>
      </c>
      <c r="L35" s="44">
        <v>4.6366995181180398E-2</v>
      </c>
      <c r="M35" s="44">
        <v>0.33567571698575199</v>
      </c>
    </row>
    <row r="36" spans="1:13" x14ac:dyDescent="0.25">
      <c r="A36" s="82" t="s">
        <v>20</v>
      </c>
      <c r="B36" s="57">
        <v>28</v>
      </c>
      <c r="C36" s="57">
        <v>45.7</v>
      </c>
      <c r="D36" s="57">
        <v>19.899999999999999</v>
      </c>
      <c r="E36" s="57">
        <v>6.4</v>
      </c>
      <c r="F36">
        <f t="shared" si="3"/>
        <v>26.299999999999997</v>
      </c>
      <c r="G36" s="44">
        <f t="shared" si="0"/>
        <v>63.472222222222229</v>
      </c>
      <c r="H36" s="44">
        <f t="shared" si="1"/>
        <v>27.638888888888886</v>
      </c>
      <c r="I36" s="44">
        <f t="shared" si="2"/>
        <v>8.8888888888888893</v>
      </c>
      <c r="J36" s="42">
        <v>1.6366277791173427E-2</v>
      </c>
      <c r="K36" s="42">
        <v>1.4454141015360411</v>
      </c>
      <c r="L36" s="44">
        <v>6.0489822150932598E-2</v>
      </c>
      <c r="M36" s="44">
        <v>0.34425246651515301</v>
      </c>
    </row>
    <row r="37" spans="1:13" ht="15.75" thickBot="1" x14ac:dyDescent="0.3">
      <c r="A37" s="84"/>
      <c r="B37" s="58">
        <v>38.5</v>
      </c>
      <c r="C37" s="58">
        <v>42.1</v>
      </c>
      <c r="D37" s="58">
        <v>19.399999999999999</v>
      </c>
      <c r="E37" s="58">
        <v>0</v>
      </c>
      <c r="F37">
        <f t="shared" si="3"/>
        <v>19.399999999999999</v>
      </c>
      <c r="G37" s="44">
        <f t="shared" si="0"/>
        <v>68.455284552845526</v>
      </c>
      <c r="H37" s="44">
        <f t="shared" si="1"/>
        <v>31.54471544715447</v>
      </c>
      <c r="I37" s="44">
        <f t="shared" si="2"/>
        <v>0</v>
      </c>
      <c r="J37" s="42">
        <v>1.9916518005623319E-2</v>
      </c>
      <c r="K37" s="42">
        <v>1.5860749505316567</v>
      </c>
      <c r="L37" s="44">
        <v>4.6916580846309897E-2</v>
      </c>
      <c r="M37" s="44">
        <v>0.332215442985836</v>
      </c>
    </row>
    <row r="38" spans="1:13" x14ac:dyDescent="0.25">
      <c r="A38" s="82" t="s">
        <v>21</v>
      </c>
      <c r="B38" s="57">
        <v>19.8</v>
      </c>
      <c r="C38" s="57">
        <v>43.1</v>
      </c>
      <c r="D38" s="57">
        <v>29.8</v>
      </c>
      <c r="E38" s="57">
        <v>7.3</v>
      </c>
      <c r="F38">
        <f t="shared" si="3"/>
        <v>37.1</v>
      </c>
      <c r="G38" s="44">
        <f t="shared" si="0"/>
        <v>53.740648379052367</v>
      </c>
      <c r="H38" s="44">
        <f t="shared" si="1"/>
        <v>37.1571072319202</v>
      </c>
      <c r="I38" s="44">
        <f t="shared" si="2"/>
        <v>9.1022443890274314</v>
      </c>
      <c r="J38" s="42">
        <v>1.2727347385278654E-2</v>
      </c>
      <c r="K38" s="42">
        <v>1.422011984199971</v>
      </c>
      <c r="L38" s="44">
        <v>6.1009812476315498E-2</v>
      </c>
      <c r="M38" s="44">
        <v>0.34156322874315997</v>
      </c>
    </row>
    <row r="39" spans="1:13" ht="15.75" thickBot="1" x14ac:dyDescent="0.3">
      <c r="A39" s="84"/>
      <c r="B39" s="58">
        <v>35.6</v>
      </c>
      <c r="C39" s="58">
        <v>37.1</v>
      </c>
      <c r="D39" s="58">
        <v>27.3</v>
      </c>
      <c r="E39" s="58">
        <v>0</v>
      </c>
      <c r="F39">
        <f t="shared" si="3"/>
        <v>27.3</v>
      </c>
      <c r="G39" s="44">
        <f t="shared" si="0"/>
        <v>57.608695652173914</v>
      </c>
      <c r="H39" s="44">
        <f t="shared" si="1"/>
        <v>42.391304347826086</v>
      </c>
      <c r="I39" s="44">
        <f t="shared" si="2"/>
        <v>0</v>
      </c>
      <c r="J39" s="42">
        <v>1.4822265219337705E-2</v>
      </c>
      <c r="K39" s="42">
        <v>1.5224408502425664</v>
      </c>
      <c r="L39" s="44">
        <v>4.7408125249157398E-2</v>
      </c>
      <c r="M39" s="44">
        <v>0.33030203533545999</v>
      </c>
    </row>
    <row r="40" spans="1:13" x14ac:dyDescent="0.25">
      <c r="A40" s="82" t="s">
        <v>22</v>
      </c>
      <c r="B40" s="57">
        <v>18.600000000000001</v>
      </c>
      <c r="C40" s="57">
        <v>59.2</v>
      </c>
      <c r="D40" s="57">
        <v>18.2</v>
      </c>
      <c r="E40" s="57">
        <v>4</v>
      </c>
      <c r="F40">
        <f t="shared" si="3"/>
        <v>22.2</v>
      </c>
      <c r="G40" s="44">
        <f t="shared" si="0"/>
        <v>72.727272727272734</v>
      </c>
      <c r="H40" s="44">
        <f t="shared" si="1"/>
        <v>22.358722358722353</v>
      </c>
      <c r="I40" s="44">
        <f t="shared" si="2"/>
        <v>4.9140049140049138</v>
      </c>
      <c r="J40" s="42">
        <v>2.100733996481937E-2</v>
      </c>
      <c r="K40" s="42">
        <v>1.5684411486922598</v>
      </c>
      <c r="L40" s="44">
        <v>5.3756682337754602E-2</v>
      </c>
      <c r="M40" s="44">
        <v>0.341478064303676</v>
      </c>
    </row>
    <row r="41" spans="1:13" x14ac:dyDescent="0.25">
      <c r="A41" s="83"/>
      <c r="B41" s="24">
        <v>32.9</v>
      </c>
      <c r="C41" s="24">
        <v>56.2</v>
      </c>
      <c r="D41" s="24">
        <v>10.9</v>
      </c>
      <c r="E41" s="24">
        <v>0</v>
      </c>
      <c r="F41">
        <f t="shared" si="3"/>
        <v>10.9</v>
      </c>
      <c r="G41" s="44">
        <f t="shared" si="0"/>
        <v>83.755588673621475</v>
      </c>
      <c r="H41" s="44">
        <f t="shared" si="1"/>
        <v>16.24441132637854</v>
      </c>
      <c r="I41" s="44">
        <f t="shared" si="2"/>
        <v>0</v>
      </c>
      <c r="J41" s="42">
        <v>2.8597151424956033E-2</v>
      </c>
      <c r="K41" s="42">
        <v>2.0048001809068832</v>
      </c>
      <c r="L41" s="44">
        <v>4.6035214310971698E-2</v>
      </c>
      <c r="M41" s="44">
        <v>0.33797545080355401</v>
      </c>
    </row>
    <row r="42" spans="1:13" ht="15.75" thickBot="1" x14ac:dyDescent="0.3">
      <c r="A42" s="84"/>
      <c r="B42" s="58">
        <v>29.5</v>
      </c>
      <c r="C42" s="58">
        <v>40.700000000000003</v>
      </c>
      <c r="D42" s="58">
        <v>24.4</v>
      </c>
      <c r="E42" s="58">
        <v>5.4</v>
      </c>
      <c r="F42">
        <f t="shared" si="3"/>
        <v>29.799999999999997</v>
      </c>
      <c r="G42" s="44">
        <f t="shared" si="0"/>
        <v>57.730496453900713</v>
      </c>
      <c r="H42" s="44">
        <f t="shared" si="1"/>
        <v>34.609929078014183</v>
      </c>
      <c r="I42" s="44">
        <f t="shared" si="2"/>
        <v>7.6595744680851059</v>
      </c>
      <c r="J42" s="42">
        <v>1.4277744407646424E-2</v>
      </c>
      <c r="K42" s="42">
        <v>1.4391460880464035</v>
      </c>
      <c r="L42" s="44">
        <v>5.85313806609035E-2</v>
      </c>
      <c r="M42" s="44">
        <v>0.34049413771453801</v>
      </c>
    </row>
    <row r="43" spans="1:13" ht="15.75" thickBot="1" x14ac:dyDescent="0.3">
      <c r="A43" s="11" t="s">
        <v>23</v>
      </c>
      <c r="B43" s="25">
        <v>27.2</v>
      </c>
      <c r="C43" s="25">
        <v>35.4</v>
      </c>
      <c r="D43" s="25">
        <v>29.8</v>
      </c>
      <c r="E43" s="25">
        <v>7.6</v>
      </c>
      <c r="F43">
        <f t="shared" si="3"/>
        <v>37.4</v>
      </c>
      <c r="G43" s="44">
        <f t="shared" si="0"/>
        <v>48.626373626373628</v>
      </c>
      <c r="H43" s="44">
        <f t="shared" si="1"/>
        <v>40.934065934065941</v>
      </c>
      <c r="I43" s="44">
        <f t="shared" si="2"/>
        <v>10.43956043956044</v>
      </c>
      <c r="J43" s="42">
        <v>1.0937239470113418E-2</v>
      </c>
      <c r="K43" s="42">
        <v>1.4124743892623475</v>
      </c>
      <c r="L43" s="44">
        <v>6.3462189719658293E-2</v>
      </c>
      <c r="M43" s="44">
        <v>0.34232453287876602</v>
      </c>
    </row>
    <row r="44" spans="1:13" x14ac:dyDescent="0.25">
      <c r="A44" s="82" t="s">
        <v>24</v>
      </c>
      <c r="B44" s="57">
        <v>25.9</v>
      </c>
      <c r="C44" s="57">
        <v>42.2</v>
      </c>
      <c r="D44" s="57">
        <v>28.4</v>
      </c>
      <c r="E44" s="57">
        <v>3.5</v>
      </c>
      <c r="F44">
        <f t="shared" si="3"/>
        <v>31.9</v>
      </c>
      <c r="G44" s="44">
        <f t="shared" si="0"/>
        <v>56.950067476383268</v>
      </c>
      <c r="H44" s="44">
        <f t="shared" si="1"/>
        <v>38.326585695006749</v>
      </c>
      <c r="I44" s="44">
        <f t="shared" si="2"/>
        <v>4.7233468286099871</v>
      </c>
      <c r="J44" s="42">
        <v>1.4182214094526864E-2</v>
      </c>
      <c r="K44" s="42">
        <v>1.4665843037075932</v>
      </c>
      <c r="L44" s="44">
        <v>5.3930312342117599E-2</v>
      </c>
      <c r="M44" s="44">
        <v>0.33616561216468499</v>
      </c>
    </row>
    <row r="45" spans="1:13" ht="15.75" thickBot="1" x14ac:dyDescent="0.3">
      <c r="A45" s="84"/>
      <c r="B45" s="58">
        <v>47</v>
      </c>
      <c r="C45" s="58">
        <v>34.1</v>
      </c>
      <c r="D45" s="58">
        <v>18.899999999999999</v>
      </c>
      <c r="E45" s="58">
        <v>0</v>
      </c>
      <c r="F45">
        <f t="shared" si="3"/>
        <v>18.899999999999999</v>
      </c>
      <c r="G45" s="44">
        <f t="shared" si="0"/>
        <v>64.339622641509436</v>
      </c>
      <c r="H45" s="44">
        <f t="shared" si="1"/>
        <v>35.660377358490564</v>
      </c>
      <c r="I45" s="44">
        <f t="shared" si="2"/>
        <v>0</v>
      </c>
      <c r="J45" s="42">
        <v>1.7887226150545402E-2</v>
      </c>
      <c r="K45" s="42">
        <v>1.5509767814680728</v>
      </c>
      <c r="L45" s="44">
        <v>4.7111442186547503E-2</v>
      </c>
      <c r="M45" s="44">
        <v>0.33122993181618698</v>
      </c>
    </row>
    <row r="46" spans="1:13" ht="15.75" thickBot="1" x14ac:dyDescent="0.3">
      <c r="A46" s="14" t="s">
        <v>26</v>
      </c>
      <c r="B46" s="26">
        <v>12.2</v>
      </c>
      <c r="C46" s="26">
        <v>39.9</v>
      </c>
      <c r="D46" s="26">
        <v>39.799999999999997</v>
      </c>
      <c r="E46" s="26">
        <v>8.1</v>
      </c>
      <c r="F46">
        <f t="shared" si="3"/>
        <v>47.9</v>
      </c>
      <c r="G46" s="44">
        <f t="shared" si="0"/>
        <v>45.444191343963553</v>
      </c>
      <c r="H46" s="44">
        <f t="shared" si="1"/>
        <v>45.33029612756264</v>
      </c>
      <c r="I46" s="44">
        <f t="shared" si="2"/>
        <v>9.2255125284738053</v>
      </c>
      <c r="J46" s="42">
        <v>9.9389340661539243E-3</v>
      </c>
      <c r="K46" s="42">
        <v>1.4275990914366452</v>
      </c>
      <c r="L46" s="44">
        <v>6.1482404915705398E-2</v>
      </c>
      <c r="M46" s="44">
        <v>0.340471496777557</v>
      </c>
    </row>
    <row r="47" spans="1:13" x14ac:dyDescent="0.25">
      <c r="A47" s="79" t="s">
        <v>27</v>
      </c>
      <c r="B47" s="27">
        <v>31.8</v>
      </c>
      <c r="C47" s="27">
        <v>54</v>
      </c>
      <c r="D47" s="27">
        <v>14.2</v>
      </c>
      <c r="E47" s="27">
        <v>0</v>
      </c>
      <c r="F47">
        <f t="shared" si="3"/>
        <v>14.2</v>
      </c>
      <c r="G47" s="44">
        <f t="shared" si="0"/>
        <v>79.178885630498527</v>
      </c>
      <c r="H47" s="44">
        <f t="shared" si="1"/>
        <v>20.821114369501466</v>
      </c>
      <c r="I47" s="44">
        <f t="shared" si="2"/>
        <v>0</v>
      </c>
      <c r="J47" s="42">
        <v>2.5792053778885129E-2</v>
      </c>
      <c r="K47" s="42">
        <v>1.8004865633605318</v>
      </c>
      <c r="L47" s="44">
        <v>4.6311036498206101E-2</v>
      </c>
      <c r="M47" s="44">
        <v>0.33605211205952501</v>
      </c>
    </row>
    <row r="48" spans="1:13" ht="15.75" thickBot="1" x14ac:dyDescent="0.3">
      <c r="A48" s="80"/>
      <c r="B48" s="28">
        <v>40.799999999999997</v>
      </c>
      <c r="C48" s="28">
        <v>50.3</v>
      </c>
      <c r="D48" s="28">
        <v>8.9</v>
      </c>
      <c r="E48" s="28">
        <v>0</v>
      </c>
      <c r="F48">
        <f t="shared" si="3"/>
        <v>8.9</v>
      </c>
      <c r="G48" s="44">
        <f t="shared" si="0"/>
        <v>84.96621621621621</v>
      </c>
      <c r="H48" s="44">
        <f t="shared" si="1"/>
        <v>15.033783783783782</v>
      </c>
      <c r="I48" s="44">
        <f t="shared" si="2"/>
        <v>0</v>
      </c>
      <c r="J48" s="42">
        <v>2.9369742781520346E-2</v>
      </c>
      <c r="K48" s="42">
        <v>2.0798611919918066</v>
      </c>
      <c r="L48" s="44">
        <v>4.596729203351E-2</v>
      </c>
      <c r="M48" s="44">
        <v>0.33847598437487397</v>
      </c>
    </row>
    <row r="49" spans="1:13" x14ac:dyDescent="0.25">
      <c r="A49" s="79" t="s">
        <v>28</v>
      </c>
      <c r="B49" s="27">
        <v>27.7</v>
      </c>
      <c r="C49" s="27">
        <v>41.6</v>
      </c>
      <c r="D49" s="27">
        <v>28.4</v>
      </c>
      <c r="E49" s="27">
        <v>2.2999999999999998</v>
      </c>
      <c r="F49">
        <f t="shared" si="3"/>
        <v>30.7</v>
      </c>
      <c r="G49" s="44">
        <f t="shared" si="0"/>
        <v>57.538035961272485</v>
      </c>
      <c r="H49" s="44">
        <f t="shared" si="1"/>
        <v>39.280774550484097</v>
      </c>
      <c r="I49" s="44">
        <f t="shared" si="2"/>
        <v>3.18118948824343</v>
      </c>
      <c r="J49" s="42">
        <v>1.4533827858984202E-2</v>
      </c>
      <c r="K49" s="42">
        <v>1.4841442650543812</v>
      </c>
      <c r="L49" s="44">
        <v>5.1667254367026703E-2</v>
      </c>
      <c r="M49" s="44">
        <v>0.33422425338539402</v>
      </c>
    </row>
    <row r="50" spans="1:13" ht="15.75" thickBot="1" x14ac:dyDescent="0.3">
      <c r="A50" s="80"/>
      <c r="B50" s="28">
        <v>37.299999999999997</v>
      </c>
      <c r="C50" s="28">
        <v>54</v>
      </c>
      <c r="D50" s="28">
        <v>8.6999999999999993</v>
      </c>
      <c r="E50" s="28">
        <v>0</v>
      </c>
      <c r="F50">
        <f t="shared" si="3"/>
        <v>8.6999999999999993</v>
      </c>
      <c r="G50" s="44">
        <f t="shared" si="0"/>
        <v>86.124401913875587</v>
      </c>
      <c r="H50" s="44">
        <f t="shared" si="1"/>
        <v>13.8755980861244</v>
      </c>
      <c r="I50" s="44">
        <f t="shared" si="2"/>
        <v>0</v>
      </c>
      <c r="J50" s="42">
        <v>3.0115319955247504E-2</v>
      </c>
      <c r="K50" s="42">
        <v>2.1618778373101311</v>
      </c>
      <c r="L50" s="44">
        <v>4.5905524123266803E-2</v>
      </c>
      <c r="M50" s="44">
        <v>0.33894501318783299</v>
      </c>
    </row>
    <row r="51" spans="1:13" x14ac:dyDescent="0.25">
      <c r="A51" s="79" t="s">
        <v>29</v>
      </c>
      <c r="B51" s="27">
        <v>29.5</v>
      </c>
      <c r="C51" s="27">
        <v>32.4</v>
      </c>
      <c r="D51" s="27">
        <v>31.9</v>
      </c>
      <c r="E51" s="27">
        <v>6.2</v>
      </c>
      <c r="F51">
        <f t="shared" si="3"/>
        <v>38.1</v>
      </c>
      <c r="G51" s="44">
        <f t="shared" si="0"/>
        <v>45.957446808510639</v>
      </c>
      <c r="H51" s="44">
        <f t="shared" si="1"/>
        <v>45.248226950354606</v>
      </c>
      <c r="I51" s="44">
        <f t="shared" si="2"/>
        <v>8.7943262411347511</v>
      </c>
      <c r="J51" s="42">
        <v>1.0103292678024619E-2</v>
      </c>
      <c r="K51" s="42">
        <v>1.4306655880950958</v>
      </c>
      <c r="L51" s="44">
        <v>6.0717861229228599E-2</v>
      </c>
      <c r="M51" s="44">
        <v>0.33995425906166599</v>
      </c>
    </row>
    <row r="52" spans="1:13" ht="15.75" thickBot="1" x14ac:dyDescent="0.3">
      <c r="A52" s="80"/>
      <c r="B52" s="28">
        <v>23.7</v>
      </c>
      <c r="C52" s="28">
        <v>47.2</v>
      </c>
      <c r="D52" s="28">
        <v>29.1</v>
      </c>
      <c r="E52" s="28">
        <v>0</v>
      </c>
      <c r="F52">
        <f t="shared" si="3"/>
        <v>29.1</v>
      </c>
      <c r="G52" s="44">
        <f t="shared" si="0"/>
        <v>61.861074705111406</v>
      </c>
      <c r="H52" s="44">
        <f t="shared" si="1"/>
        <v>38.138925294888601</v>
      </c>
      <c r="I52" s="44">
        <f t="shared" si="2"/>
        <v>0</v>
      </c>
      <c r="J52" s="42">
        <v>1.6722525289722092E-2</v>
      </c>
      <c r="K52" s="42">
        <v>1.5369578837770346</v>
      </c>
      <c r="L52" s="44">
        <v>4.7221772096702197E-2</v>
      </c>
      <c r="M52" s="44">
        <v>0.33078985518635301</v>
      </c>
    </row>
    <row r="53" spans="1:13" ht="15.75" thickBot="1" x14ac:dyDescent="0.3">
      <c r="A53" s="14" t="s">
        <v>30</v>
      </c>
      <c r="B53" s="26">
        <v>26.2</v>
      </c>
      <c r="C53" s="26">
        <v>62.7</v>
      </c>
      <c r="D53" s="26">
        <v>11.1</v>
      </c>
      <c r="E53" s="26">
        <v>0</v>
      </c>
      <c r="F53">
        <f t="shared" si="3"/>
        <v>11.1</v>
      </c>
      <c r="G53" s="44">
        <f t="shared" si="0"/>
        <v>84.959349593495944</v>
      </c>
      <c r="H53" s="44">
        <f t="shared" si="1"/>
        <v>15.040650406504067</v>
      </c>
      <c r="I53" s="44">
        <f t="shared" si="2"/>
        <v>0</v>
      </c>
      <c r="J53" s="42">
        <v>2.9363305959356784E-2</v>
      </c>
      <c r="K53" s="42">
        <v>2.0791956110038909</v>
      </c>
      <c r="L53" s="44">
        <v>4.5967841181907297E-2</v>
      </c>
      <c r="M53" s="44">
        <v>0.33847187694063802</v>
      </c>
    </row>
    <row r="54" spans="1:13" x14ac:dyDescent="0.25">
      <c r="A54" s="79" t="s">
        <v>31</v>
      </c>
      <c r="B54" s="27">
        <v>24.7</v>
      </c>
      <c r="C54" s="27">
        <v>46.9</v>
      </c>
      <c r="D54" s="27">
        <v>21.2</v>
      </c>
      <c r="E54" s="27">
        <v>7.2</v>
      </c>
      <c r="F54">
        <f t="shared" si="3"/>
        <v>28.4</v>
      </c>
      <c r="G54" s="44">
        <f t="shared" si="0"/>
        <v>62.284196547144752</v>
      </c>
      <c r="H54" s="44">
        <f t="shared" si="1"/>
        <v>28.15405046480744</v>
      </c>
      <c r="I54" s="44">
        <f t="shared" si="2"/>
        <v>9.5617529880478092</v>
      </c>
      <c r="J54" s="42">
        <v>1.5835355146702007E-2</v>
      </c>
      <c r="K54" s="42">
        <v>1.4343646909773138</v>
      </c>
      <c r="L54" s="44">
        <v>6.1663110127835701E-2</v>
      </c>
      <c r="M54" s="44">
        <v>0.34490850738821199</v>
      </c>
    </row>
    <row r="55" spans="1:13" ht="15.75" thickBot="1" x14ac:dyDescent="0.3">
      <c r="A55" s="80"/>
      <c r="B55" s="28">
        <v>27.8</v>
      </c>
      <c r="C55" s="28">
        <v>44</v>
      </c>
      <c r="D55" s="28">
        <v>24.3</v>
      </c>
      <c r="E55" s="28">
        <v>3.9</v>
      </c>
      <c r="F55">
        <f t="shared" si="3"/>
        <v>28.2</v>
      </c>
      <c r="G55" s="44">
        <f t="shared" si="0"/>
        <v>60.941828254847643</v>
      </c>
      <c r="H55" s="44">
        <f t="shared" si="1"/>
        <v>33.656509695290858</v>
      </c>
      <c r="I55" s="44">
        <f t="shared" si="2"/>
        <v>5.4016620498614953</v>
      </c>
      <c r="J55" s="42">
        <v>1.5737895827824061E-2</v>
      </c>
      <c r="K55" s="42">
        <v>1.4696258839274814</v>
      </c>
      <c r="L55" s="44">
        <v>5.4873374760123501E-2</v>
      </c>
      <c r="M55" s="44">
        <v>0.33802972600063402</v>
      </c>
    </row>
    <row r="56" spans="1:13" ht="15.75" thickBot="1" x14ac:dyDescent="0.3">
      <c r="A56" s="14" t="s">
        <v>32</v>
      </c>
      <c r="B56" s="26">
        <v>37.200000000000003</v>
      </c>
      <c r="C56" s="26">
        <v>28.4</v>
      </c>
      <c r="D56" s="26">
        <v>26</v>
      </c>
      <c r="E56" s="26">
        <v>8.4</v>
      </c>
      <c r="F56">
        <f t="shared" si="3"/>
        <v>34.4</v>
      </c>
      <c r="G56" s="44">
        <f t="shared" si="0"/>
        <v>45.222929936305732</v>
      </c>
      <c r="H56" s="44">
        <f t="shared" si="1"/>
        <v>41.401273885350321</v>
      </c>
      <c r="I56" s="44">
        <f t="shared" si="2"/>
        <v>13.375796178343949</v>
      </c>
      <c r="J56" s="42">
        <v>9.8466673084295145E-3</v>
      </c>
      <c r="K56" s="42">
        <v>1.3930274306777184</v>
      </c>
      <c r="L56" s="44">
        <v>6.8960735459735301E-2</v>
      </c>
      <c r="M56" s="44">
        <v>0.34568761458993202</v>
      </c>
    </row>
    <row r="57" spans="1:13" x14ac:dyDescent="0.25">
      <c r="A57" s="79" t="s">
        <v>33</v>
      </c>
      <c r="B57" s="27">
        <v>38.1</v>
      </c>
      <c r="C57" s="27">
        <v>45.5</v>
      </c>
      <c r="D57" s="27">
        <v>16.399999999999999</v>
      </c>
      <c r="E57" s="27">
        <v>0</v>
      </c>
      <c r="F57">
        <f t="shared" si="3"/>
        <v>16.399999999999999</v>
      </c>
      <c r="G57" s="44">
        <f t="shared" si="0"/>
        <v>73.505654281098543</v>
      </c>
      <c r="H57" s="44">
        <f t="shared" si="1"/>
        <v>26.494345718901453</v>
      </c>
      <c r="I57" s="44">
        <f t="shared" si="2"/>
        <v>0</v>
      </c>
      <c r="J57" s="42">
        <v>2.2571769761340458E-2</v>
      </c>
      <c r="K57" s="42">
        <v>1.657545209986355</v>
      </c>
      <c r="L57" s="44">
        <v>4.66491654756944E-2</v>
      </c>
      <c r="M57" s="44">
        <v>0.333829668294573</v>
      </c>
    </row>
    <row r="58" spans="1:13" ht="15.75" thickBot="1" x14ac:dyDescent="0.3">
      <c r="A58" s="80"/>
      <c r="B58" s="28">
        <v>43.2</v>
      </c>
      <c r="C58" s="28">
        <v>43.2</v>
      </c>
      <c r="D58" s="28">
        <v>13.6</v>
      </c>
      <c r="E58" s="28">
        <v>0</v>
      </c>
      <c r="F58">
        <f t="shared" si="3"/>
        <v>13.6</v>
      </c>
      <c r="G58" s="44">
        <f t="shared" si="0"/>
        <v>76.056338028169023</v>
      </c>
      <c r="H58" s="44">
        <f t="shared" si="1"/>
        <v>23.943661971830988</v>
      </c>
      <c r="I58" s="44">
        <f t="shared" si="2"/>
        <v>0</v>
      </c>
      <c r="J58" s="42">
        <v>2.3987105673776439E-2</v>
      </c>
      <c r="K58" s="42">
        <v>1.7111464344920069</v>
      </c>
      <c r="L58" s="44">
        <v>4.65009469284157E-2</v>
      </c>
      <c r="M58" s="44">
        <v>0.33478804588455002</v>
      </c>
    </row>
    <row r="59" spans="1:13" x14ac:dyDescent="0.25">
      <c r="A59" s="79" t="s">
        <v>34</v>
      </c>
      <c r="B59" s="27">
        <v>23.6</v>
      </c>
      <c r="C59" s="27">
        <v>51</v>
      </c>
      <c r="D59" s="27">
        <v>20.5</v>
      </c>
      <c r="E59" s="27">
        <v>4.9000000000000004</v>
      </c>
      <c r="F59">
        <f t="shared" si="3"/>
        <v>25.4</v>
      </c>
      <c r="G59" s="44">
        <f t="shared" si="0"/>
        <v>66.753926701570677</v>
      </c>
      <c r="H59" s="44">
        <f t="shared" si="1"/>
        <v>26.832460732984291</v>
      </c>
      <c r="I59" s="44">
        <f t="shared" si="2"/>
        <v>6.4136125654450264</v>
      </c>
      <c r="J59" s="42">
        <v>1.8042503915639465E-2</v>
      </c>
      <c r="K59" s="42">
        <v>1.4890788482385244</v>
      </c>
      <c r="L59" s="44">
        <v>5.6320502254086198E-2</v>
      </c>
      <c r="M59" s="44">
        <v>0.34149164524659698</v>
      </c>
    </row>
    <row r="60" spans="1:13" x14ac:dyDescent="0.25">
      <c r="A60" s="81"/>
      <c r="B60" s="29">
        <v>9</v>
      </c>
      <c r="C60" s="29">
        <v>86.4</v>
      </c>
      <c r="D60" s="29">
        <v>4.5999999999999996</v>
      </c>
      <c r="E60" s="29">
        <v>0</v>
      </c>
      <c r="F60">
        <f t="shared" si="3"/>
        <v>4.5999999999999996</v>
      </c>
      <c r="G60" s="44">
        <f t="shared" si="0"/>
        <v>94.945054945054949</v>
      </c>
      <c r="H60" s="44">
        <f t="shared" si="1"/>
        <v>5.0549450549450547</v>
      </c>
      <c r="I60" s="44">
        <f t="shared" si="2"/>
        <v>0</v>
      </c>
      <c r="J60" s="42">
        <v>3.5926681931932943E-2</v>
      </c>
      <c r="K60" s="42">
        <v>3.2646705714428781</v>
      </c>
      <c r="L60" s="44">
        <v>4.54757021899675E-2</v>
      </c>
      <c r="M60" s="44">
        <v>0.34251910110738099</v>
      </c>
    </row>
    <row r="61" spans="1:13" ht="15.75" thickBot="1" x14ac:dyDescent="0.3">
      <c r="A61" s="80"/>
      <c r="B61" s="28">
        <v>35.299999999999997</v>
      </c>
      <c r="C61" s="28">
        <v>56.6</v>
      </c>
      <c r="D61" s="28">
        <v>8.1</v>
      </c>
      <c r="E61" s="28">
        <v>0</v>
      </c>
      <c r="F61">
        <f t="shared" si="3"/>
        <v>8.1</v>
      </c>
      <c r="G61" s="44">
        <f t="shared" si="0"/>
        <v>87.480680061823804</v>
      </c>
      <c r="H61" s="44">
        <f t="shared" si="1"/>
        <v>12.519319938176196</v>
      </c>
      <c r="I61" s="44">
        <f t="shared" si="2"/>
        <v>0</v>
      </c>
      <c r="J61" s="42">
        <v>3.1008650583386258E-2</v>
      </c>
      <c r="K61" s="42">
        <v>2.2740380299929766</v>
      </c>
      <c r="L61" s="44">
        <v>4.5835784786911603E-2</v>
      </c>
      <c r="M61" s="44">
        <v>0.33949219993993401</v>
      </c>
    </row>
    <row r="62" spans="1:13" ht="15.75" thickBot="1" x14ac:dyDescent="0.3">
      <c r="A62" s="14" t="s">
        <v>35</v>
      </c>
      <c r="B62" s="26">
        <v>42.7</v>
      </c>
      <c r="C62" s="26">
        <v>41.8</v>
      </c>
      <c r="D62" s="26">
        <v>15.5</v>
      </c>
      <c r="E62" s="26">
        <v>0</v>
      </c>
      <c r="F62">
        <f t="shared" si="3"/>
        <v>15.5</v>
      </c>
      <c r="G62" s="44">
        <f t="shared" si="0"/>
        <v>72.94938917975567</v>
      </c>
      <c r="H62" s="44">
        <f t="shared" si="1"/>
        <v>27.05061082024433</v>
      </c>
      <c r="I62" s="44">
        <f t="shared" si="2"/>
        <v>0</v>
      </c>
      <c r="J62" s="42">
        <v>2.2267842730664036E-2</v>
      </c>
      <c r="K62" s="42">
        <v>1.6476003232288501</v>
      </c>
      <c r="L62" s="44">
        <v>4.6680568853514098E-2</v>
      </c>
      <c r="M62" s="44">
        <v>0.33363079069602503</v>
      </c>
    </row>
    <row r="63" spans="1:13" ht="15.75" thickBot="1" x14ac:dyDescent="0.3">
      <c r="A63" s="14" t="s">
        <v>36</v>
      </c>
      <c r="B63" s="26">
        <v>37.200000000000003</v>
      </c>
      <c r="C63" s="26">
        <v>25.2</v>
      </c>
      <c r="D63" s="26">
        <v>30.7</v>
      </c>
      <c r="E63" s="26">
        <v>6.9</v>
      </c>
      <c r="F63">
        <f t="shared" si="3"/>
        <v>37.6</v>
      </c>
      <c r="G63" s="44">
        <f t="shared" si="0"/>
        <v>40.127388535031848</v>
      </c>
      <c r="H63" s="44">
        <f t="shared" si="1"/>
        <v>48.885350318471339</v>
      </c>
      <c r="I63" s="44">
        <f t="shared" si="2"/>
        <v>10.987261146496817</v>
      </c>
      <c r="J63" s="42">
        <v>8.4829542376075612E-3</v>
      </c>
      <c r="K63" s="42">
        <v>1.4233400931982323</v>
      </c>
      <c r="L63" s="44">
        <v>6.4801492028872101E-2</v>
      </c>
      <c r="M63" s="44">
        <v>0.34304506473041801</v>
      </c>
    </row>
    <row r="64" spans="1:13" ht="15.75" thickBot="1" x14ac:dyDescent="0.3">
      <c r="A64" s="14" t="s">
        <v>37</v>
      </c>
      <c r="B64" s="26">
        <v>24.1</v>
      </c>
      <c r="C64" s="26">
        <v>62.9</v>
      </c>
      <c r="D64" s="26">
        <v>13</v>
      </c>
      <c r="E64" s="26">
        <v>0</v>
      </c>
      <c r="F64">
        <f t="shared" si="3"/>
        <v>13</v>
      </c>
      <c r="G64" s="44">
        <f t="shared" si="0"/>
        <v>82.87220026350461</v>
      </c>
      <c r="H64" s="44">
        <f t="shared" si="1"/>
        <v>17.127799736495387</v>
      </c>
      <c r="I64" s="44">
        <f t="shared" si="2"/>
        <v>0</v>
      </c>
      <c r="J64" s="42">
        <v>2.8037198664601581E-2</v>
      </c>
      <c r="K64" s="42">
        <v>1.956087516303372</v>
      </c>
      <c r="L64" s="44">
        <v>4.6086930758541401E-2</v>
      </c>
      <c r="M64" s="44">
        <v>0.337603307427846</v>
      </c>
    </row>
    <row r="65" spans="1:13" x14ac:dyDescent="0.25">
      <c r="A65" s="79" t="s">
        <v>38</v>
      </c>
      <c r="B65" s="27">
        <v>7.1</v>
      </c>
      <c r="C65" s="27">
        <v>52.9</v>
      </c>
      <c r="D65" s="27">
        <v>28.5</v>
      </c>
      <c r="E65" s="27">
        <v>11.5</v>
      </c>
      <c r="F65">
        <f t="shared" si="3"/>
        <v>40</v>
      </c>
      <c r="G65" s="44">
        <f t="shared" si="0"/>
        <v>56.94294940796555</v>
      </c>
      <c r="H65" s="44">
        <f t="shared" si="1"/>
        <v>30.678148546824541</v>
      </c>
      <c r="I65" s="44">
        <f t="shared" si="2"/>
        <v>12.378902045209902</v>
      </c>
      <c r="J65" s="42">
        <v>1.3673427705363488E-2</v>
      </c>
      <c r="K65" s="42">
        <v>1.3974523359358368</v>
      </c>
      <c r="L65" s="44">
        <v>6.6784563763967505E-2</v>
      </c>
      <c r="M65" s="44">
        <v>0.34749063053923401</v>
      </c>
    </row>
    <row r="66" spans="1:13" x14ac:dyDescent="0.25">
      <c r="A66" s="81"/>
      <c r="B66" s="29">
        <v>8.1</v>
      </c>
      <c r="C66" s="29">
        <v>45.4</v>
      </c>
      <c r="D66" s="29">
        <v>35.799999999999997</v>
      </c>
      <c r="E66" s="29">
        <v>10.7</v>
      </c>
      <c r="F66">
        <f t="shared" si="3"/>
        <v>46.5</v>
      </c>
      <c r="G66" s="44">
        <f t="shared" si="0"/>
        <v>49.401523394994555</v>
      </c>
      <c r="H66" s="44">
        <f t="shared" si="1"/>
        <v>38.955386289445045</v>
      </c>
      <c r="I66" s="44">
        <f t="shared" si="2"/>
        <v>11.643090315560391</v>
      </c>
      <c r="J66" s="42">
        <v>1.1166674665644694E-2</v>
      </c>
      <c r="K66" s="42">
        <v>1.4017805344734513</v>
      </c>
      <c r="L66" s="44">
        <v>6.5585999581737595E-2</v>
      </c>
      <c r="M66" s="44">
        <v>0.34412043727222502</v>
      </c>
    </row>
    <row r="67" spans="1:13" ht="15.75" thickBot="1" x14ac:dyDescent="0.3">
      <c r="A67" s="80"/>
      <c r="B67" s="28">
        <v>18.5</v>
      </c>
      <c r="C67" s="28">
        <v>41.7</v>
      </c>
      <c r="D67" s="28">
        <v>30.7</v>
      </c>
      <c r="E67" s="28">
        <v>9.1</v>
      </c>
      <c r="F67">
        <f t="shared" si="3"/>
        <v>39.799999999999997</v>
      </c>
      <c r="G67" s="44">
        <f t="shared" si="0"/>
        <v>51.165644171779142</v>
      </c>
      <c r="H67" s="44">
        <f t="shared" si="1"/>
        <v>37.668711656441715</v>
      </c>
      <c r="I67" s="44">
        <f t="shared" si="2"/>
        <v>11.165644171779141</v>
      </c>
      <c r="J67" s="42">
        <v>1.1761777100447049E-2</v>
      </c>
      <c r="K67" s="42">
        <v>1.4045872435713191</v>
      </c>
      <c r="L67" s="44">
        <v>6.4686339196377604E-2</v>
      </c>
      <c r="M67" s="44">
        <v>0.34386767745616598</v>
      </c>
    </row>
    <row r="68" spans="1:13" ht="15.75" thickBot="1" x14ac:dyDescent="0.3">
      <c r="A68" s="14" t="s">
        <v>39</v>
      </c>
      <c r="B68" s="26">
        <v>40.299999999999997</v>
      </c>
      <c r="C68" s="26">
        <v>39.5</v>
      </c>
      <c r="D68" s="26">
        <v>20.2</v>
      </c>
      <c r="E68" s="26">
        <v>0</v>
      </c>
      <c r="F68">
        <f t="shared" si="3"/>
        <v>20.2</v>
      </c>
      <c r="G68" s="44">
        <f t="shared" si="0"/>
        <v>66.164154103852596</v>
      </c>
      <c r="H68" s="44">
        <f t="shared" si="1"/>
        <v>33.835845896147397</v>
      </c>
      <c r="I68" s="44">
        <f t="shared" si="2"/>
        <v>0</v>
      </c>
      <c r="J68" s="42">
        <v>1.8768910167128072E-2</v>
      </c>
      <c r="K68" s="42">
        <v>1.5644481119070999</v>
      </c>
      <c r="L68" s="44">
        <v>4.7027515775495E-2</v>
      </c>
      <c r="M68" s="44">
        <v>0.33162645209035901</v>
      </c>
    </row>
    <row r="69" spans="1:13" ht="15.75" thickBot="1" x14ac:dyDescent="0.3">
      <c r="A69" s="14" t="s">
        <v>40</v>
      </c>
      <c r="B69" s="26">
        <v>29</v>
      </c>
      <c r="C69" s="26">
        <v>57.9</v>
      </c>
      <c r="D69" s="26">
        <v>13.1</v>
      </c>
      <c r="E69" s="26">
        <v>0</v>
      </c>
      <c r="F69">
        <f t="shared" si="3"/>
        <v>13.1</v>
      </c>
      <c r="G69" s="44">
        <f t="shared" si="0"/>
        <v>81.549295774647888</v>
      </c>
      <c r="H69" s="44">
        <f t="shared" si="1"/>
        <v>18.450704225352112</v>
      </c>
      <c r="I69" s="44">
        <f t="shared" si="2"/>
        <v>0</v>
      </c>
      <c r="J69" s="42">
        <v>2.7219945210905021E-2</v>
      </c>
      <c r="K69" s="42">
        <v>1.892646341421838</v>
      </c>
      <c r="L69" s="44">
        <v>4.6165813624650602E-2</v>
      </c>
      <c r="M69" s="44">
        <v>0.33704758080608599</v>
      </c>
    </row>
    <row r="70" spans="1:13" x14ac:dyDescent="0.25">
      <c r="A70" s="79" t="s">
        <v>41</v>
      </c>
      <c r="B70" s="27">
        <v>15.8</v>
      </c>
      <c r="C70" s="27">
        <v>39.9</v>
      </c>
      <c r="D70" s="27">
        <v>34.5</v>
      </c>
      <c r="E70" s="27">
        <v>9.8000000000000007</v>
      </c>
      <c r="F70">
        <f t="shared" si="3"/>
        <v>44.3</v>
      </c>
      <c r="G70" s="44">
        <f t="shared" ref="G70:G133" si="4">C70/(100-B70)*100</f>
        <v>47.387173396674584</v>
      </c>
      <c r="H70" s="44">
        <f t="shared" ref="H70:H133" si="5">D70/(100-B70)*100</f>
        <v>40.973871733966746</v>
      </c>
      <c r="I70" s="44">
        <f t="shared" ref="I70:I133" si="6">E70/(100-B70)*100</f>
        <v>11.63895486935867</v>
      </c>
      <c r="J70" s="42">
        <v>1.052131125595307E-2</v>
      </c>
      <c r="K70" s="42">
        <v>1.4038946247682167</v>
      </c>
      <c r="L70" s="44">
        <v>6.5651368911026797E-2</v>
      </c>
      <c r="M70" s="44">
        <v>0.34371378902990801</v>
      </c>
    </row>
    <row r="71" spans="1:13" ht="15.75" thickBot="1" x14ac:dyDescent="0.3">
      <c r="A71" s="80"/>
      <c r="B71" s="28">
        <v>26.5</v>
      </c>
      <c r="C71" s="28">
        <v>38.5</v>
      </c>
      <c r="D71" s="28">
        <v>29</v>
      </c>
      <c r="E71" s="28">
        <v>6</v>
      </c>
      <c r="F71">
        <f t="shared" ref="F71:F134" si="7">D71+E71</f>
        <v>35</v>
      </c>
      <c r="G71" s="44">
        <f t="shared" si="4"/>
        <v>52.380952380952387</v>
      </c>
      <c r="H71" s="44">
        <f t="shared" si="5"/>
        <v>39.455782312925166</v>
      </c>
      <c r="I71" s="44">
        <f t="shared" si="6"/>
        <v>8.1632653061224492</v>
      </c>
      <c r="J71" s="42">
        <v>1.228058951711705E-2</v>
      </c>
      <c r="K71" s="42">
        <v>1.4301925504689017</v>
      </c>
      <c r="L71" s="44">
        <v>5.9460615302401702E-2</v>
      </c>
      <c r="M71" s="44">
        <v>0.33995457425092401</v>
      </c>
    </row>
    <row r="72" spans="1:13" ht="15.75" thickBot="1" x14ac:dyDescent="0.3">
      <c r="A72" s="14" t="s">
        <v>42</v>
      </c>
      <c r="B72" s="26">
        <v>24.1</v>
      </c>
      <c r="C72" s="26">
        <v>51.3</v>
      </c>
      <c r="D72" s="26">
        <v>24.6</v>
      </c>
      <c r="E72" s="26">
        <v>0</v>
      </c>
      <c r="F72">
        <f t="shared" si="7"/>
        <v>24.6</v>
      </c>
      <c r="G72" s="44">
        <f t="shared" si="4"/>
        <v>67.588932806324095</v>
      </c>
      <c r="H72" s="44">
        <f t="shared" si="5"/>
        <v>32.411067193675891</v>
      </c>
      <c r="I72" s="44">
        <f t="shared" si="6"/>
        <v>0</v>
      </c>
      <c r="J72" s="42">
        <v>1.9477990068092251E-2</v>
      </c>
      <c r="K72" s="42">
        <v>1.5772325812746815</v>
      </c>
      <c r="L72" s="44">
        <v>4.6959252573467503E-2</v>
      </c>
      <c r="M72" s="44">
        <v>0.33198127926799398</v>
      </c>
    </row>
    <row r="73" spans="1:13" x14ac:dyDescent="0.25">
      <c r="A73" s="79" t="s">
        <v>44</v>
      </c>
      <c r="B73" s="27">
        <v>3.1</v>
      </c>
      <c r="C73" s="27">
        <v>38.5</v>
      </c>
      <c r="D73" s="27">
        <v>53.6</v>
      </c>
      <c r="E73" s="27">
        <v>4.8</v>
      </c>
      <c r="F73">
        <f t="shared" si="7"/>
        <v>58.4</v>
      </c>
      <c r="G73" s="44">
        <f t="shared" si="4"/>
        <v>39.731682146542823</v>
      </c>
      <c r="H73" s="44">
        <f t="shared" si="5"/>
        <v>55.314757481940148</v>
      </c>
      <c r="I73" s="44">
        <f t="shared" si="6"/>
        <v>4.9535603715170273</v>
      </c>
      <c r="J73" s="42">
        <v>8.4673364835633515E-3</v>
      </c>
      <c r="K73" s="42">
        <v>1.4828635967769601</v>
      </c>
      <c r="L73" s="44">
        <v>5.5126587093474302E-2</v>
      </c>
      <c r="M73" s="44">
        <v>0.33766584181623799</v>
      </c>
    </row>
    <row r="74" spans="1:13" ht="15.75" thickBot="1" x14ac:dyDescent="0.3">
      <c r="A74" s="80"/>
      <c r="B74" s="28">
        <v>18.2</v>
      </c>
      <c r="C74" s="28">
        <v>56.8</v>
      </c>
      <c r="D74" s="28">
        <v>25</v>
      </c>
      <c r="E74" s="28">
        <v>0</v>
      </c>
      <c r="F74">
        <f t="shared" si="7"/>
        <v>25</v>
      </c>
      <c r="G74" s="44">
        <f t="shared" si="4"/>
        <v>69.437652811735944</v>
      </c>
      <c r="H74" s="44">
        <f t="shared" si="5"/>
        <v>30.562347188264059</v>
      </c>
      <c r="I74" s="44">
        <f t="shared" si="6"/>
        <v>0</v>
      </c>
      <c r="J74" s="42">
        <v>2.0417028526481664E-2</v>
      </c>
      <c r="K74" s="42">
        <v>1.5970990453557166</v>
      </c>
      <c r="L74" s="44">
        <v>4.6867391993517603E-2</v>
      </c>
      <c r="M74" s="44">
        <v>0.33249540596167199</v>
      </c>
    </row>
    <row r="75" spans="1:13" x14ac:dyDescent="0.25">
      <c r="A75" s="79" t="s">
        <v>45</v>
      </c>
      <c r="B75" s="27">
        <v>3.8</v>
      </c>
      <c r="C75" s="27">
        <v>32.200000000000003</v>
      </c>
      <c r="D75" s="27">
        <v>58.4</v>
      </c>
      <c r="E75" s="27">
        <v>5.6</v>
      </c>
      <c r="F75">
        <f t="shared" si="7"/>
        <v>64</v>
      </c>
      <c r="G75" s="44">
        <f t="shared" si="4"/>
        <v>33.471933471933475</v>
      </c>
      <c r="H75" s="44">
        <f t="shared" si="5"/>
        <v>60.706860706860702</v>
      </c>
      <c r="I75" s="44">
        <f t="shared" si="6"/>
        <v>5.8212058212058206</v>
      </c>
      <c r="J75" s="42">
        <v>7.1568050257476944E-3</v>
      </c>
      <c r="K75" s="42">
        <v>1.4925541676923186</v>
      </c>
      <c r="L75" s="44">
        <v>5.69738464412421E-2</v>
      </c>
      <c r="M75" s="44">
        <v>0.342160745634565</v>
      </c>
    </row>
    <row r="76" spans="1:13" ht="15.75" thickBot="1" x14ac:dyDescent="0.3">
      <c r="A76" s="80"/>
      <c r="B76" s="28">
        <v>30.3</v>
      </c>
      <c r="C76" s="28">
        <v>49.5</v>
      </c>
      <c r="D76" s="28">
        <v>20.2</v>
      </c>
      <c r="E76" s="28">
        <v>0</v>
      </c>
      <c r="F76">
        <f t="shared" si="7"/>
        <v>20.2</v>
      </c>
      <c r="G76" s="44">
        <f t="shared" si="4"/>
        <v>71.018651362984215</v>
      </c>
      <c r="H76" s="44">
        <f t="shared" si="5"/>
        <v>28.981348637015781</v>
      </c>
      <c r="I76" s="44">
        <f t="shared" si="6"/>
        <v>0</v>
      </c>
      <c r="J76" s="42">
        <v>2.1238762529106538E-2</v>
      </c>
      <c r="K76" s="42">
        <v>1.6175172004065355</v>
      </c>
      <c r="L76" s="44">
        <v>4.6785416020493797E-2</v>
      </c>
      <c r="M76" s="44">
        <v>0.33298170324132198</v>
      </c>
    </row>
    <row r="77" spans="1:13" ht="15.75" thickBot="1" x14ac:dyDescent="0.3">
      <c r="A77" s="79" t="s">
        <v>46</v>
      </c>
      <c r="B77" s="27">
        <v>39.200000000000003</v>
      </c>
      <c r="C77" s="27">
        <v>52.7</v>
      </c>
      <c r="D77" s="27">
        <v>8.1</v>
      </c>
      <c r="E77" s="28">
        <v>0</v>
      </c>
      <c r="F77">
        <f t="shared" si="7"/>
        <v>8.1</v>
      </c>
      <c r="G77" s="44">
        <f t="shared" si="4"/>
        <v>86.677631578947384</v>
      </c>
      <c r="H77" s="44">
        <f t="shared" si="5"/>
        <v>13.322368421052634</v>
      </c>
      <c r="I77" s="44">
        <f t="shared" si="6"/>
        <v>0</v>
      </c>
      <c r="J77" s="42">
        <v>3.0481866014748359E-2</v>
      </c>
      <c r="K77" s="42">
        <v>2.2059721057500683</v>
      </c>
      <c r="L77" s="44">
        <v>4.5876407199795299E-2</v>
      </c>
      <c r="M77" s="44">
        <v>0.33917116997288899</v>
      </c>
    </row>
    <row r="78" spans="1:13" ht="15.75" thickBot="1" x14ac:dyDescent="0.3">
      <c r="A78" s="81"/>
      <c r="B78" s="29">
        <v>40.1</v>
      </c>
      <c r="C78" s="29">
        <v>47.9</v>
      </c>
      <c r="D78" s="29">
        <v>12</v>
      </c>
      <c r="E78" s="28">
        <v>0</v>
      </c>
      <c r="F78">
        <f t="shared" si="7"/>
        <v>12</v>
      </c>
      <c r="G78" s="44">
        <f t="shared" si="4"/>
        <v>79.966611018363949</v>
      </c>
      <c r="H78" s="44">
        <f t="shared" si="5"/>
        <v>20.033388981636062</v>
      </c>
      <c r="I78" s="44">
        <f t="shared" si="6"/>
        <v>0</v>
      </c>
      <c r="J78" s="42">
        <v>2.6262445247698149E-2</v>
      </c>
      <c r="K78" s="42">
        <v>1.8284768288905024</v>
      </c>
      <c r="L78" s="44">
        <v>4.6262392924404497E-2</v>
      </c>
      <c r="M78" s="44">
        <v>0.33638227223822298</v>
      </c>
    </row>
    <row r="79" spans="1:13" ht="15.75" thickBot="1" x14ac:dyDescent="0.3">
      <c r="A79" s="80"/>
      <c r="B79" s="28">
        <v>43.3</v>
      </c>
      <c r="C79" s="28">
        <v>21.6</v>
      </c>
      <c r="D79" s="28">
        <v>35.1</v>
      </c>
      <c r="E79" s="28">
        <v>0</v>
      </c>
      <c r="F79">
        <f t="shared" si="7"/>
        <v>35.1</v>
      </c>
      <c r="G79" s="44">
        <f t="shared" si="4"/>
        <v>38.095238095238095</v>
      </c>
      <c r="H79" s="44">
        <f t="shared" si="5"/>
        <v>61.904761904761905</v>
      </c>
      <c r="I79" s="44">
        <f t="shared" si="6"/>
        <v>0</v>
      </c>
      <c r="J79" s="42">
        <v>8.2655202335939638E-3</v>
      </c>
      <c r="K79" s="42">
        <v>1.5469132595761281</v>
      </c>
      <c r="L79" s="44">
        <v>4.8939380205728897E-2</v>
      </c>
      <c r="M79" s="44">
        <v>0.33542330073617599</v>
      </c>
    </row>
    <row r="80" spans="1:13" ht="15.75" thickBot="1" x14ac:dyDescent="0.3">
      <c r="A80" s="14" t="s">
        <v>47</v>
      </c>
      <c r="B80" s="26">
        <v>16.3</v>
      </c>
      <c r="C80" s="26">
        <v>62.1</v>
      </c>
      <c r="D80" s="26">
        <v>21.6</v>
      </c>
      <c r="E80" s="28">
        <v>0</v>
      </c>
      <c r="F80">
        <f t="shared" si="7"/>
        <v>21.6</v>
      </c>
      <c r="G80" s="44">
        <f t="shared" si="4"/>
        <v>74.193548387096769</v>
      </c>
      <c r="H80" s="44">
        <f t="shared" si="5"/>
        <v>25.806451612903224</v>
      </c>
      <c r="I80" s="44">
        <f t="shared" si="6"/>
        <v>0</v>
      </c>
      <c r="J80" s="42">
        <v>2.2944116416802714E-2</v>
      </c>
      <c r="K80" s="42">
        <v>1.6704438419478982</v>
      </c>
      <c r="L80" s="44">
        <v>4.6610453392750502E-2</v>
      </c>
      <c r="M80" s="44">
        <v>0.33407708958040599</v>
      </c>
    </row>
    <row r="81" spans="1:13" ht="15.75" thickBot="1" x14ac:dyDescent="0.3">
      <c r="A81" s="14" t="s">
        <v>48</v>
      </c>
      <c r="B81" s="26">
        <v>21.3</v>
      </c>
      <c r="C81" s="26">
        <v>62</v>
      </c>
      <c r="D81" s="26">
        <v>16.7</v>
      </c>
      <c r="E81" s="28">
        <v>0</v>
      </c>
      <c r="F81">
        <f t="shared" si="7"/>
        <v>16.7</v>
      </c>
      <c r="G81" s="44">
        <f t="shared" si="4"/>
        <v>78.780177890724275</v>
      </c>
      <c r="H81" s="44">
        <f t="shared" si="5"/>
        <v>21.219822109275729</v>
      </c>
      <c r="I81" s="44">
        <f t="shared" si="6"/>
        <v>0</v>
      </c>
      <c r="J81" s="42">
        <v>2.5555976303209153E-2</v>
      </c>
      <c r="K81" s="42">
        <v>1.7872369398726473</v>
      </c>
      <c r="L81" s="44">
        <v>4.6335659718323603E-2</v>
      </c>
      <c r="M81" s="44">
        <v>0.33588606159544998</v>
      </c>
    </row>
    <row r="82" spans="1:13" ht="15.75" thickBot="1" x14ac:dyDescent="0.3">
      <c r="A82" s="14" t="s">
        <v>49</v>
      </c>
      <c r="B82" s="26">
        <v>24.9</v>
      </c>
      <c r="C82" s="26">
        <v>53.1</v>
      </c>
      <c r="D82" s="26">
        <v>22</v>
      </c>
      <c r="E82" s="28">
        <v>0</v>
      </c>
      <c r="F82">
        <f t="shared" si="7"/>
        <v>22</v>
      </c>
      <c r="G82" s="44">
        <f t="shared" si="4"/>
        <v>70.705725699067912</v>
      </c>
      <c r="H82" s="44">
        <f t="shared" si="5"/>
        <v>29.294274300932095</v>
      </c>
      <c r="I82" s="44">
        <f t="shared" si="6"/>
        <v>0</v>
      </c>
      <c r="J82" s="42">
        <v>2.107608217465359E-2</v>
      </c>
      <c r="K82" s="42">
        <v>1.6132345045304879</v>
      </c>
      <c r="L82" s="44">
        <v>4.6801768789450297E-2</v>
      </c>
      <c r="M82" s="44">
        <v>0.33288298051162601</v>
      </c>
    </row>
    <row r="83" spans="1:13" ht="15.75" thickBot="1" x14ac:dyDescent="0.3">
      <c r="A83" s="14" t="s">
        <v>50</v>
      </c>
      <c r="B83" s="26">
        <v>37.9</v>
      </c>
      <c r="C83" s="26">
        <v>49.2</v>
      </c>
      <c r="D83" s="26">
        <v>12.9</v>
      </c>
      <c r="E83" s="28">
        <v>0</v>
      </c>
      <c r="F83">
        <f t="shared" si="7"/>
        <v>12.9</v>
      </c>
      <c r="G83" s="44">
        <f t="shared" si="4"/>
        <v>79.227053140096629</v>
      </c>
      <c r="H83" s="44">
        <f t="shared" si="5"/>
        <v>20.772946859903382</v>
      </c>
      <c r="I83" s="44">
        <f t="shared" si="6"/>
        <v>0</v>
      </c>
      <c r="J83" s="42">
        <v>2.5821662095533823E-2</v>
      </c>
      <c r="K83" s="42">
        <v>1.8021850076466615</v>
      </c>
      <c r="L83" s="44">
        <v>4.63079571396387E-2</v>
      </c>
      <c r="M83" s="44">
        <v>0.33607292724877702</v>
      </c>
    </row>
    <row r="84" spans="1:13" ht="15.75" thickBot="1" x14ac:dyDescent="0.3">
      <c r="A84" s="14" t="s">
        <v>51</v>
      </c>
      <c r="B84" s="26">
        <v>36.6</v>
      </c>
      <c r="C84" s="26">
        <v>52.8</v>
      </c>
      <c r="D84" s="26">
        <v>10.6</v>
      </c>
      <c r="E84" s="28">
        <v>0</v>
      </c>
      <c r="F84">
        <f t="shared" si="7"/>
        <v>10.6</v>
      </c>
      <c r="G84" s="44">
        <f t="shared" si="4"/>
        <v>83.280757097791792</v>
      </c>
      <c r="H84" s="44">
        <f t="shared" si="5"/>
        <v>16.719242902208201</v>
      </c>
      <c r="I84" s="44">
        <f t="shared" si="6"/>
        <v>0</v>
      </c>
      <c r="J84" s="42">
        <v>2.8294265007235482E-2</v>
      </c>
      <c r="K84" s="42">
        <v>1.9778899264639267</v>
      </c>
      <c r="L84" s="44">
        <v>4.6062937225942201E-2</v>
      </c>
      <c r="M84" s="44">
        <v>0.337775097133441</v>
      </c>
    </row>
    <row r="85" spans="1:13" ht="15.75" thickBot="1" x14ac:dyDescent="0.3">
      <c r="A85" s="14" t="s">
        <v>52</v>
      </c>
      <c r="B85" s="26">
        <v>42.2</v>
      </c>
      <c r="C85" s="26">
        <v>55.6</v>
      </c>
      <c r="D85" s="26">
        <v>2.2000000000000002</v>
      </c>
      <c r="E85" s="28">
        <v>0</v>
      </c>
      <c r="F85">
        <f t="shared" si="7"/>
        <v>2.2000000000000002</v>
      </c>
      <c r="G85" s="44">
        <f t="shared" si="4"/>
        <v>96.19377162629759</v>
      </c>
      <c r="H85" s="44">
        <f t="shared" si="5"/>
        <v>3.8062283737024227</v>
      </c>
      <c r="I85" s="44">
        <f t="shared" si="6"/>
        <v>0</v>
      </c>
      <c r="J85" s="42">
        <v>3.6739754469405625E-2</v>
      </c>
      <c r="K85" s="42">
        <v>3.5096562911382088</v>
      </c>
      <c r="L85" s="44">
        <v>4.5419741123518299E-2</v>
      </c>
      <c r="M85" s="44">
        <v>0.34304573983173298</v>
      </c>
    </row>
    <row r="86" spans="1:13" ht="15.75" thickBot="1" x14ac:dyDescent="0.3">
      <c r="A86" s="14" t="s">
        <v>53</v>
      </c>
      <c r="B86" s="26">
        <v>18.899999999999999</v>
      </c>
      <c r="C86" s="26">
        <v>42.8</v>
      </c>
      <c r="D86" s="26">
        <v>38.299999999999997</v>
      </c>
      <c r="E86" s="28">
        <v>0</v>
      </c>
      <c r="F86">
        <f t="shared" si="7"/>
        <v>38.299999999999997</v>
      </c>
      <c r="G86" s="44">
        <f t="shared" si="4"/>
        <v>52.774352651048083</v>
      </c>
      <c r="H86" s="44">
        <f t="shared" si="5"/>
        <v>47.22564734895191</v>
      </c>
      <c r="I86" s="44">
        <f t="shared" si="6"/>
        <v>0</v>
      </c>
      <c r="J86" s="42">
        <v>1.2807791624081339E-2</v>
      </c>
      <c r="K86" s="42">
        <v>1.5173919802656288</v>
      </c>
      <c r="L86" s="44">
        <v>4.7645763403350597E-2</v>
      </c>
      <c r="M86" s="44">
        <v>0.33017189524323998</v>
      </c>
    </row>
    <row r="87" spans="1:13" ht="15.75" thickBot="1" x14ac:dyDescent="0.3">
      <c r="A87" s="14" t="s">
        <v>54</v>
      </c>
      <c r="B87" s="26">
        <v>40.200000000000003</v>
      </c>
      <c r="C87" s="26">
        <v>39.5</v>
      </c>
      <c r="D87" s="26">
        <v>20.3</v>
      </c>
      <c r="E87" s="28">
        <v>0</v>
      </c>
      <c r="F87">
        <f t="shared" si="7"/>
        <v>20.3</v>
      </c>
      <c r="G87" s="44">
        <f t="shared" si="4"/>
        <v>66.053511705685622</v>
      </c>
      <c r="H87" s="44">
        <f t="shared" si="5"/>
        <v>33.946488294314385</v>
      </c>
      <c r="I87" s="44">
        <f t="shared" si="6"/>
        <v>0</v>
      </c>
      <c r="J87" s="42">
        <v>1.8714964177506139E-2</v>
      </c>
      <c r="K87" s="42">
        <v>1.5635486872618929</v>
      </c>
      <c r="L87" s="44">
        <v>4.7032676878473199E-2</v>
      </c>
      <c r="M87" s="44">
        <v>0.33160072597291002</v>
      </c>
    </row>
    <row r="88" spans="1:13" ht="15.75" thickBot="1" x14ac:dyDescent="0.3">
      <c r="A88" s="14" t="s">
        <v>55</v>
      </c>
      <c r="B88" s="26">
        <v>37.200000000000003</v>
      </c>
      <c r="C88" s="26">
        <v>48.2</v>
      </c>
      <c r="D88" s="26">
        <v>14.6</v>
      </c>
      <c r="E88" s="28">
        <v>0</v>
      </c>
      <c r="F88">
        <f t="shared" si="7"/>
        <v>14.6</v>
      </c>
      <c r="G88" s="44">
        <f t="shared" si="4"/>
        <v>76.751592356687908</v>
      </c>
      <c r="H88" s="44">
        <f t="shared" si="5"/>
        <v>23.248407643312103</v>
      </c>
      <c r="I88" s="44">
        <f t="shared" si="6"/>
        <v>0</v>
      </c>
      <c r="J88" s="42">
        <v>2.4379172557251721E-2</v>
      </c>
      <c r="K88" s="42">
        <v>1.7283591579384796</v>
      </c>
      <c r="L88" s="44">
        <v>4.6459552158662501E-2</v>
      </c>
      <c r="M88" s="44">
        <v>0.33506038745380101</v>
      </c>
    </row>
    <row r="89" spans="1:13" x14ac:dyDescent="0.25">
      <c r="A89" s="79" t="s">
        <v>56</v>
      </c>
      <c r="B89" s="27">
        <v>21.4</v>
      </c>
      <c r="C89" s="27">
        <v>33.799999999999997</v>
      </c>
      <c r="D89" s="27">
        <v>39.799999999999997</v>
      </c>
      <c r="E89" s="27">
        <v>5</v>
      </c>
      <c r="F89">
        <f t="shared" si="7"/>
        <v>44.8</v>
      </c>
      <c r="G89" s="44">
        <f t="shared" si="4"/>
        <v>43.002544529262089</v>
      </c>
      <c r="H89" s="44">
        <f t="shared" si="5"/>
        <v>50.636132315521628</v>
      </c>
      <c r="I89" s="44">
        <f t="shared" si="6"/>
        <v>6.3613231552162848</v>
      </c>
      <c r="J89" s="42">
        <v>9.2725802535986775E-3</v>
      </c>
      <c r="K89" s="42">
        <v>1.4598415017667852</v>
      </c>
      <c r="L89" s="44">
        <v>5.6969837557339198E-2</v>
      </c>
      <c r="M89" s="44">
        <v>0.337681621656724</v>
      </c>
    </row>
    <row r="90" spans="1:13" ht="15.75" thickBot="1" x14ac:dyDescent="0.3">
      <c r="A90" s="80"/>
      <c r="B90" s="28">
        <v>28.3</v>
      </c>
      <c r="C90" s="28">
        <v>39.4</v>
      </c>
      <c r="D90" s="28">
        <v>28</v>
      </c>
      <c r="E90" s="28">
        <v>4.3</v>
      </c>
      <c r="F90">
        <f t="shared" si="7"/>
        <v>32.299999999999997</v>
      </c>
      <c r="G90" s="44">
        <f t="shared" si="4"/>
        <v>54.951185495118551</v>
      </c>
      <c r="H90" s="44">
        <f t="shared" si="5"/>
        <v>39.051603905160384</v>
      </c>
      <c r="I90" s="44">
        <f t="shared" si="6"/>
        <v>5.9972105997210594</v>
      </c>
      <c r="J90" s="42">
        <v>1.332514863704581E-2</v>
      </c>
      <c r="K90" s="42">
        <v>1.4513313038249018</v>
      </c>
      <c r="L90" s="44">
        <v>5.5931448305735799E-2</v>
      </c>
      <c r="M90" s="44">
        <v>0.33752037456534301</v>
      </c>
    </row>
    <row r="91" spans="1:13" x14ac:dyDescent="0.25">
      <c r="A91" s="79" t="s">
        <v>57</v>
      </c>
      <c r="B91" s="27">
        <v>28.2</v>
      </c>
      <c r="C91" s="27">
        <v>41.8</v>
      </c>
      <c r="D91" s="27">
        <v>30</v>
      </c>
      <c r="E91" s="27">
        <v>0</v>
      </c>
      <c r="F91">
        <f t="shared" si="7"/>
        <v>30</v>
      </c>
      <c r="G91" s="44">
        <f t="shared" si="4"/>
        <v>58.217270194986071</v>
      </c>
      <c r="H91" s="44">
        <f t="shared" si="5"/>
        <v>41.782729805013929</v>
      </c>
      <c r="I91" s="44">
        <f t="shared" si="6"/>
        <v>0</v>
      </c>
      <c r="J91" s="42">
        <v>1.5087659449285093E-2</v>
      </c>
      <c r="K91" s="42">
        <v>1.5238807863537076</v>
      </c>
      <c r="L91" s="44">
        <v>4.7380938169796903E-2</v>
      </c>
      <c r="M91" s="44">
        <v>0.33035151007854802</v>
      </c>
    </row>
    <row r="92" spans="1:13" ht="15.75" thickBot="1" x14ac:dyDescent="0.3">
      <c r="A92" s="80"/>
      <c r="B92" s="28">
        <v>26.2</v>
      </c>
      <c r="C92" s="28">
        <v>34</v>
      </c>
      <c r="D92" s="28">
        <v>36.5</v>
      </c>
      <c r="E92" s="28">
        <v>3.3</v>
      </c>
      <c r="F92">
        <f t="shared" si="7"/>
        <v>39.799999999999997</v>
      </c>
      <c r="G92" s="44">
        <f t="shared" si="4"/>
        <v>46.070460704607044</v>
      </c>
      <c r="H92" s="44">
        <f t="shared" si="5"/>
        <v>49.457994579945805</v>
      </c>
      <c r="I92" s="44">
        <f t="shared" si="6"/>
        <v>4.4715447154471546</v>
      </c>
      <c r="J92" s="42">
        <v>1.0218863062836944E-2</v>
      </c>
      <c r="K92" s="42">
        <v>1.4728273379503707</v>
      </c>
      <c r="L92" s="44">
        <v>5.39763085724582E-2</v>
      </c>
      <c r="M92" s="44">
        <v>0.33520812810166201</v>
      </c>
    </row>
    <row r="93" spans="1:13" ht="15.75" thickBot="1" x14ac:dyDescent="0.3">
      <c r="A93" s="14" t="s">
        <v>58</v>
      </c>
      <c r="B93" s="26">
        <v>35</v>
      </c>
      <c r="C93" s="26">
        <v>53</v>
      </c>
      <c r="D93" s="26">
        <v>12</v>
      </c>
      <c r="E93" s="26">
        <v>0</v>
      </c>
      <c r="F93">
        <f t="shared" si="7"/>
        <v>12</v>
      </c>
      <c r="G93" s="44">
        <f t="shared" si="4"/>
        <v>81.538461538461533</v>
      </c>
      <c r="H93" s="44">
        <f t="shared" si="5"/>
        <v>18.461538461538463</v>
      </c>
      <c r="I93" s="44">
        <f t="shared" si="6"/>
        <v>0</v>
      </c>
      <c r="J93" s="42">
        <v>2.7213814300353946E-2</v>
      </c>
      <c r="K93" s="42">
        <v>1.8922022110965171</v>
      </c>
      <c r="L93" s="44">
        <v>4.6166419086930199E-2</v>
      </c>
      <c r="M93" s="44">
        <v>0.33704336288745801</v>
      </c>
    </row>
    <row r="94" spans="1:13" ht="15.75" thickBot="1" x14ac:dyDescent="0.3">
      <c r="A94" s="14" t="s">
        <v>59</v>
      </c>
      <c r="B94" s="26">
        <v>24.4</v>
      </c>
      <c r="C94" s="26">
        <v>40.1</v>
      </c>
      <c r="D94" s="26">
        <v>35.5</v>
      </c>
      <c r="E94" s="26">
        <v>0</v>
      </c>
      <c r="F94">
        <f t="shared" si="7"/>
        <v>35.5</v>
      </c>
      <c r="G94" s="44">
        <f t="shared" si="4"/>
        <v>53.042328042328045</v>
      </c>
      <c r="H94" s="44">
        <f t="shared" si="5"/>
        <v>46.957671957671963</v>
      </c>
      <c r="I94" s="44">
        <f t="shared" si="6"/>
        <v>0</v>
      </c>
      <c r="J94" s="42">
        <v>1.2915702447176563E-2</v>
      </c>
      <c r="K94" s="42">
        <v>1.517403397228678</v>
      </c>
      <c r="L94" s="44">
        <v>4.7631027820768099E-2</v>
      </c>
      <c r="M94" s="44">
        <v>0.33016556266221397</v>
      </c>
    </row>
    <row r="95" spans="1:13" ht="15.75" thickBot="1" x14ac:dyDescent="0.3">
      <c r="A95" s="14" t="s">
        <v>60</v>
      </c>
      <c r="B95" s="26">
        <v>28.4</v>
      </c>
      <c r="C95" s="26">
        <v>39.799999999999997</v>
      </c>
      <c r="D95" s="26">
        <v>31.8</v>
      </c>
      <c r="E95" s="26">
        <v>0</v>
      </c>
      <c r="F95">
        <f t="shared" si="7"/>
        <v>31.8</v>
      </c>
      <c r="G95" s="44">
        <f t="shared" si="4"/>
        <v>55.586592178770957</v>
      </c>
      <c r="H95" s="44">
        <f t="shared" si="5"/>
        <v>44.413407821229058</v>
      </c>
      <c r="I95" s="44">
        <f t="shared" si="6"/>
        <v>0</v>
      </c>
      <c r="J95" s="42">
        <v>1.3961346617527272E-2</v>
      </c>
      <c r="K95" s="42">
        <v>1.5190261995158529</v>
      </c>
      <c r="L95" s="44">
        <v>4.75014578520127E-2</v>
      </c>
      <c r="M95" s="44">
        <v>0.33018865790963497</v>
      </c>
    </row>
    <row r="96" spans="1:13" ht="15.75" thickBot="1" x14ac:dyDescent="0.3">
      <c r="A96" s="60" t="s">
        <v>61</v>
      </c>
      <c r="B96" s="27">
        <v>36.799999999999997</v>
      </c>
      <c r="C96" s="27">
        <v>41.5</v>
      </c>
      <c r="D96" s="27">
        <v>21.7</v>
      </c>
      <c r="E96" s="26">
        <v>0</v>
      </c>
      <c r="F96">
        <f t="shared" si="7"/>
        <v>21.7</v>
      </c>
      <c r="G96" s="44">
        <f t="shared" si="4"/>
        <v>65.664556962025316</v>
      </c>
      <c r="H96" s="44">
        <f t="shared" si="5"/>
        <v>34.335443037974684</v>
      </c>
      <c r="I96" s="44">
        <f t="shared" si="6"/>
        <v>0</v>
      </c>
      <c r="J96" s="42">
        <v>1.8524385723769375E-2</v>
      </c>
      <c r="K96" s="42">
        <v>1.5604513529397834</v>
      </c>
      <c r="L96" s="44">
        <v>4.7050878472778203E-2</v>
      </c>
      <c r="M96" s="44">
        <v>0.33151133432636098</v>
      </c>
    </row>
    <row r="97" spans="1:13" ht="15.75" thickBot="1" x14ac:dyDescent="0.3">
      <c r="A97" s="61"/>
      <c r="B97" s="28">
        <v>3</v>
      </c>
      <c r="C97" s="28">
        <v>84.4</v>
      </c>
      <c r="D97" s="28">
        <v>12.6</v>
      </c>
      <c r="E97" s="26">
        <v>0</v>
      </c>
      <c r="F97">
        <f t="shared" si="7"/>
        <v>12.6</v>
      </c>
      <c r="G97" s="44">
        <f t="shared" si="4"/>
        <v>87.010309278350519</v>
      </c>
      <c r="H97" s="44">
        <f t="shared" si="5"/>
        <v>12.989690721649483</v>
      </c>
      <c r="I97" s="44">
        <f t="shared" si="6"/>
        <v>0</v>
      </c>
      <c r="J97" s="42">
        <v>3.0698765874912305E-2</v>
      </c>
      <c r="K97" s="42">
        <v>2.2333091915709513</v>
      </c>
      <c r="L97" s="44">
        <v>4.5859520093680099E-2</v>
      </c>
      <c r="M97" s="44">
        <v>0.33930385325094198</v>
      </c>
    </row>
    <row r="98" spans="1:13" ht="15.75" thickBot="1" x14ac:dyDescent="0.3">
      <c r="A98" s="14" t="s">
        <v>62</v>
      </c>
      <c r="B98" s="26">
        <v>41.9</v>
      </c>
      <c r="C98" s="26">
        <v>49.8</v>
      </c>
      <c r="D98" s="26">
        <v>8.3000000000000007</v>
      </c>
      <c r="E98" s="26">
        <v>0</v>
      </c>
      <c r="F98">
        <f t="shared" si="7"/>
        <v>8.3000000000000007</v>
      </c>
      <c r="G98" s="44">
        <f t="shared" si="4"/>
        <v>85.714285714285708</v>
      </c>
      <c r="H98" s="44">
        <f t="shared" si="5"/>
        <v>14.285714285714288</v>
      </c>
      <c r="I98" s="44">
        <f t="shared" si="6"/>
        <v>0</v>
      </c>
      <c r="J98" s="42">
        <v>2.9848332054444766E-2</v>
      </c>
      <c r="K98" s="42">
        <v>2.131360217011149</v>
      </c>
      <c r="L98" s="44">
        <v>4.5927233130375299E-2</v>
      </c>
      <c r="M98" s="44">
        <v>0.33877853887175102</v>
      </c>
    </row>
    <row r="99" spans="1:13" ht="15.75" thickBot="1" x14ac:dyDescent="0.3">
      <c r="A99" s="14" t="s">
        <v>63</v>
      </c>
      <c r="B99" s="26">
        <v>25.2</v>
      </c>
      <c r="C99" s="26">
        <v>34.200000000000003</v>
      </c>
      <c r="D99" s="26">
        <v>40.6</v>
      </c>
      <c r="E99" s="26">
        <v>0</v>
      </c>
      <c r="F99">
        <f t="shared" si="7"/>
        <v>40.6</v>
      </c>
      <c r="G99" s="44">
        <f t="shared" si="4"/>
        <v>45.721925133689844</v>
      </c>
      <c r="H99" s="44">
        <f t="shared" si="5"/>
        <v>54.278074866310163</v>
      </c>
      <c r="I99" s="44">
        <f t="shared" si="6"/>
        <v>0</v>
      </c>
      <c r="J99" s="42">
        <v>1.0270978573815412E-2</v>
      </c>
      <c r="K99" s="42">
        <v>1.525825528449255</v>
      </c>
      <c r="L99" s="44">
        <v>4.8140422859555401E-2</v>
      </c>
      <c r="M99" s="44">
        <v>0.33134785269275502</v>
      </c>
    </row>
    <row r="100" spans="1:13" ht="15.75" thickBot="1" x14ac:dyDescent="0.3">
      <c r="A100" s="14" t="s">
        <v>64</v>
      </c>
      <c r="B100" s="26">
        <v>37.200000000000003</v>
      </c>
      <c r="C100" s="26">
        <v>54.5</v>
      </c>
      <c r="D100" s="26">
        <v>8.3000000000000007</v>
      </c>
      <c r="E100" s="26">
        <v>0</v>
      </c>
      <c r="F100">
        <f t="shared" si="7"/>
        <v>8.3000000000000007</v>
      </c>
      <c r="G100" s="44">
        <f t="shared" si="4"/>
        <v>86.783439490445872</v>
      </c>
      <c r="H100" s="44">
        <f t="shared" si="5"/>
        <v>13.216560509554142</v>
      </c>
      <c r="I100" s="44">
        <f t="shared" si="6"/>
        <v>0</v>
      </c>
      <c r="J100" s="42">
        <v>3.0547527976900656E-2</v>
      </c>
      <c r="K100" s="42">
        <v>2.2141482327779314</v>
      </c>
      <c r="L100" s="44">
        <v>4.5871269515176498E-2</v>
      </c>
      <c r="M100" s="44">
        <v>0.33921141960387502</v>
      </c>
    </row>
    <row r="101" spans="1:13" ht="15.75" thickBot="1" x14ac:dyDescent="0.3">
      <c r="A101" s="14" t="s">
        <v>65</v>
      </c>
      <c r="B101" s="26">
        <v>40.1</v>
      </c>
      <c r="C101" s="26">
        <v>50.6</v>
      </c>
      <c r="D101" s="26">
        <v>9.3000000000000007</v>
      </c>
      <c r="E101" s="26">
        <v>0</v>
      </c>
      <c r="F101">
        <f t="shared" si="7"/>
        <v>9.3000000000000007</v>
      </c>
      <c r="G101" s="44">
        <f t="shared" si="4"/>
        <v>84.474123539232053</v>
      </c>
      <c r="H101" s="44">
        <f t="shared" si="5"/>
        <v>15.525876460767948</v>
      </c>
      <c r="I101" s="44">
        <f t="shared" si="6"/>
        <v>0</v>
      </c>
      <c r="J101" s="42">
        <v>2.9048942719147746E-2</v>
      </c>
      <c r="K101" s="42">
        <v>2.0475305683137335</v>
      </c>
      <c r="L101" s="44">
        <v>4.5995002612889503E-2</v>
      </c>
      <c r="M101" s="44">
        <v>0.33827000080382003</v>
      </c>
    </row>
    <row r="102" spans="1:13" ht="15.75" thickBot="1" x14ac:dyDescent="0.3">
      <c r="A102" s="14" t="s">
        <v>66</v>
      </c>
      <c r="B102" s="26">
        <v>28.1</v>
      </c>
      <c r="C102" s="26">
        <v>46.8</v>
      </c>
      <c r="D102" s="26">
        <v>25.1</v>
      </c>
      <c r="E102" s="26">
        <v>0</v>
      </c>
      <c r="F102">
        <f t="shared" si="7"/>
        <v>25.1</v>
      </c>
      <c r="G102" s="44">
        <f t="shared" si="4"/>
        <v>65.090403337969391</v>
      </c>
      <c r="H102" s="44">
        <f t="shared" si="5"/>
        <v>34.909596662030594</v>
      </c>
      <c r="I102" s="44">
        <f t="shared" si="6"/>
        <v>0</v>
      </c>
      <c r="J102" s="42">
        <v>1.8247762087021217E-2</v>
      </c>
      <c r="K102" s="42">
        <v>1.5561739286896368</v>
      </c>
      <c r="L102" s="44">
        <v>4.7077220064696897E-2</v>
      </c>
      <c r="M102" s="44">
        <v>0.33138580527987999</v>
      </c>
    </row>
    <row r="103" spans="1:13" ht="15.75" thickBot="1" x14ac:dyDescent="0.3">
      <c r="A103" s="14" t="s">
        <v>67</v>
      </c>
      <c r="B103" s="26">
        <v>40.4</v>
      </c>
      <c r="C103" s="26">
        <v>50.3</v>
      </c>
      <c r="D103" s="26">
        <v>9.3000000000000007</v>
      </c>
      <c r="E103" s="26">
        <v>0</v>
      </c>
      <c r="F103">
        <f t="shared" si="7"/>
        <v>9.3000000000000007</v>
      </c>
      <c r="G103" s="44">
        <f t="shared" si="4"/>
        <v>84.395973154362409</v>
      </c>
      <c r="H103" s="44">
        <f t="shared" si="5"/>
        <v>15.604026845637584</v>
      </c>
      <c r="I103" s="44">
        <f t="shared" si="6"/>
        <v>0</v>
      </c>
      <c r="J103" s="42">
        <v>2.9004202581250228E-2</v>
      </c>
      <c r="K103" s="42">
        <v>2.0431555559799022</v>
      </c>
      <c r="L103" s="44">
        <v>4.5998922900179401E-2</v>
      </c>
      <c r="M103" s="44">
        <v>0.33824106492205502</v>
      </c>
    </row>
    <row r="104" spans="1:13" ht="15.75" thickBot="1" x14ac:dyDescent="0.3">
      <c r="A104" s="14" t="s">
        <v>68</v>
      </c>
      <c r="B104" s="26">
        <v>28.7</v>
      </c>
      <c r="C104" s="26">
        <v>42.4</v>
      </c>
      <c r="D104" s="26">
        <v>28.9</v>
      </c>
      <c r="E104" s="26">
        <v>0</v>
      </c>
      <c r="F104">
        <f t="shared" si="7"/>
        <v>28.9</v>
      </c>
      <c r="G104" s="44">
        <f t="shared" si="4"/>
        <v>59.467040673211777</v>
      </c>
      <c r="H104" s="44">
        <f t="shared" si="5"/>
        <v>40.532959326788223</v>
      </c>
      <c r="I104" s="44">
        <f t="shared" si="6"/>
        <v>0</v>
      </c>
      <c r="J104" s="42">
        <v>1.5639200535272964E-2</v>
      </c>
      <c r="K104" s="42">
        <v>1.5274716484907795</v>
      </c>
      <c r="L104" s="44">
        <v>4.7326016531485098E-2</v>
      </c>
      <c r="M104" s="44">
        <v>0.33047442971747798</v>
      </c>
    </row>
    <row r="105" spans="1:13" ht="15.75" thickBot="1" x14ac:dyDescent="0.3">
      <c r="A105" s="14" t="s">
        <v>69</v>
      </c>
      <c r="B105" s="26">
        <v>37.799999999999997</v>
      </c>
      <c r="C105" s="26">
        <v>48.4</v>
      </c>
      <c r="D105" s="26">
        <v>13.8</v>
      </c>
      <c r="E105" s="26">
        <v>0</v>
      </c>
      <c r="F105">
        <f t="shared" si="7"/>
        <v>13.8</v>
      </c>
      <c r="G105" s="44">
        <f t="shared" si="4"/>
        <v>77.813504823151121</v>
      </c>
      <c r="H105" s="44">
        <f t="shared" si="5"/>
        <v>22.186495176848876</v>
      </c>
      <c r="I105" s="44">
        <f t="shared" si="6"/>
        <v>0</v>
      </c>
      <c r="J105" s="42">
        <v>2.4989263437633396E-2</v>
      </c>
      <c r="K105" s="42">
        <v>1.7574577972362657</v>
      </c>
      <c r="L105" s="44">
        <v>4.6395163915582502E-2</v>
      </c>
      <c r="M105" s="44">
        <v>0.33548751802631499</v>
      </c>
    </row>
    <row r="106" spans="1:13" ht="15.75" thickBot="1" x14ac:dyDescent="0.3">
      <c r="A106" s="14" t="s">
        <v>70</v>
      </c>
      <c r="B106" s="26">
        <v>37.200000000000003</v>
      </c>
      <c r="C106" s="26">
        <v>39.9</v>
      </c>
      <c r="D106" s="26">
        <v>22.9</v>
      </c>
      <c r="E106" s="26">
        <v>0</v>
      </c>
      <c r="F106">
        <f t="shared" si="7"/>
        <v>22.9</v>
      </c>
      <c r="G106" s="44">
        <f t="shared" si="4"/>
        <v>63.535031847133759</v>
      </c>
      <c r="H106" s="44">
        <f t="shared" si="5"/>
        <v>36.464968152866241</v>
      </c>
      <c r="I106" s="44">
        <f t="shared" si="6"/>
        <v>0</v>
      </c>
      <c r="J106" s="42">
        <v>1.7506933730792981E-2</v>
      </c>
      <c r="K106" s="42">
        <v>1.5459439095462562</v>
      </c>
      <c r="L106" s="44">
        <v>4.7147454627929103E-2</v>
      </c>
      <c r="M106" s="44">
        <v>0.33107533642977699</v>
      </c>
    </row>
    <row r="107" spans="1:13" ht="15.75" thickBot="1" x14ac:dyDescent="0.3">
      <c r="A107" s="60" t="s">
        <v>71</v>
      </c>
      <c r="B107" s="27">
        <v>29.1</v>
      </c>
      <c r="C107" s="27">
        <v>48.9</v>
      </c>
      <c r="D107" s="27">
        <v>22</v>
      </c>
      <c r="E107" s="26">
        <v>0</v>
      </c>
      <c r="F107">
        <f t="shared" si="7"/>
        <v>22</v>
      </c>
      <c r="G107" s="44">
        <f t="shared" si="4"/>
        <v>68.970380818053584</v>
      </c>
      <c r="H107" s="44">
        <f t="shared" si="5"/>
        <v>31.029619181946401</v>
      </c>
      <c r="I107" s="44">
        <f t="shared" si="6"/>
        <v>0</v>
      </c>
      <c r="J107" s="42">
        <v>2.0176118994706928E-2</v>
      </c>
      <c r="K107" s="42">
        <v>1.5916653030301933</v>
      </c>
      <c r="L107" s="44">
        <v>4.6891135331659201E-2</v>
      </c>
      <c r="M107" s="44">
        <v>0.33235902249338001</v>
      </c>
    </row>
    <row r="108" spans="1:13" ht="15.75" thickBot="1" x14ac:dyDescent="0.3">
      <c r="A108" s="61"/>
      <c r="B108" s="28">
        <v>15.3</v>
      </c>
      <c r="C108" s="28">
        <v>47.2</v>
      </c>
      <c r="D108" s="28">
        <v>37.5</v>
      </c>
      <c r="E108" s="26">
        <v>0</v>
      </c>
      <c r="F108">
        <f t="shared" si="7"/>
        <v>37.5</v>
      </c>
      <c r="G108" s="44">
        <f t="shared" si="4"/>
        <v>55.726092089728454</v>
      </c>
      <c r="H108" s="44">
        <f t="shared" si="5"/>
        <v>44.273907910271539</v>
      </c>
      <c r="I108" s="44">
        <f t="shared" si="6"/>
        <v>0</v>
      </c>
      <c r="J108" s="42">
        <v>1.4020108906531865E-2</v>
      </c>
      <c r="K108" s="42">
        <v>1.5191990149794612</v>
      </c>
      <c r="L108" s="44">
        <v>4.7494775203571898E-2</v>
      </c>
      <c r="M108" s="44">
        <v>0.33019394404164198</v>
      </c>
    </row>
    <row r="109" spans="1:13" ht="15.75" thickBot="1" x14ac:dyDescent="0.3">
      <c r="A109" s="14" t="s">
        <v>72</v>
      </c>
      <c r="B109" s="26">
        <v>38.1</v>
      </c>
      <c r="C109" s="26">
        <v>43.4</v>
      </c>
      <c r="D109" s="26">
        <v>18.5</v>
      </c>
      <c r="E109" s="26">
        <v>0</v>
      </c>
      <c r="F109">
        <f t="shared" si="7"/>
        <v>18.5</v>
      </c>
      <c r="G109" s="44">
        <f t="shared" si="4"/>
        <v>70.11308562197091</v>
      </c>
      <c r="H109" s="44">
        <f t="shared" si="5"/>
        <v>29.886914378029079</v>
      </c>
      <c r="I109" s="44">
        <f t="shared" si="6"/>
        <v>0</v>
      </c>
      <c r="J109" s="42">
        <v>2.0763239945173716E-2</v>
      </c>
      <c r="K109" s="42">
        <v>1.6053373804109938</v>
      </c>
      <c r="L109" s="44">
        <v>4.6833043256214797E-2</v>
      </c>
      <c r="M109" s="44">
        <v>0.33269645460028102</v>
      </c>
    </row>
    <row r="110" spans="1:13" ht="15.75" thickBot="1" x14ac:dyDescent="0.3">
      <c r="A110" s="14" t="s">
        <v>73</v>
      </c>
      <c r="B110" s="26">
        <v>40.5</v>
      </c>
      <c r="C110" s="26">
        <v>55.4</v>
      </c>
      <c r="D110" s="26">
        <v>4.0999999999999996</v>
      </c>
      <c r="E110" s="26">
        <v>0</v>
      </c>
      <c r="F110">
        <f t="shared" si="7"/>
        <v>4.0999999999999996</v>
      </c>
      <c r="G110" s="44">
        <f t="shared" si="4"/>
        <v>93.109243697478988</v>
      </c>
      <c r="H110" s="44">
        <f t="shared" si="5"/>
        <v>6.8907563025210079</v>
      </c>
      <c r="I110" s="44">
        <f t="shared" si="6"/>
        <v>0</v>
      </c>
      <c r="J110" s="42">
        <v>3.4724471644026741E-2</v>
      </c>
      <c r="K110" s="42">
        <v>2.9509041410650392</v>
      </c>
      <c r="L110" s="44">
        <v>4.5564049968637999E-2</v>
      </c>
      <c r="M110" s="44">
        <v>0.341755328627874</v>
      </c>
    </row>
    <row r="111" spans="1:13" x14ac:dyDescent="0.25">
      <c r="A111" s="79" t="s">
        <v>74</v>
      </c>
      <c r="B111" s="27">
        <v>22.2</v>
      </c>
      <c r="C111" s="27">
        <v>38.4</v>
      </c>
      <c r="D111" s="27">
        <v>32</v>
      </c>
      <c r="E111" s="27">
        <v>7.4</v>
      </c>
      <c r="F111">
        <f t="shared" si="7"/>
        <v>39.4</v>
      </c>
      <c r="G111" s="44">
        <f t="shared" si="4"/>
        <v>49.357326478149098</v>
      </c>
      <c r="H111" s="44">
        <f t="shared" si="5"/>
        <v>41.131105398457585</v>
      </c>
      <c r="I111" s="44">
        <f t="shared" si="6"/>
        <v>9.5115681233933174</v>
      </c>
      <c r="J111" s="42">
        <v>1.1196994520380891E-2</v>
      </c>
      <c r="K111" s="42">
        <v>1.4197594922039021</v>
      </c>
      <c r="L111" s="44">
        <v>6.1820761555260603E-2</v>
      </c>
      <c r="M111" s="44">
        <v>0.34121218837433398</v>
      </c>
    </row>
    <row r="112" spans="1:13" x14ac:dyDescent="0.25">
      <c r="A112" s="81"/>
      <c r="B112" s="29">
        <v>23.3</v>
      </c>
      <c r="C112" s="29">
        <v>40.299999999999997</v>
      </c>
      <c r="D112" s="29">
        <v>33.9</v>
      </c>
      <c r="E112" s="29">
        <v>2.5</v>
      </c>
      <c r="F112">
        <f t="shared" si="7"/>
        <v>36.4</v>
      </c>
      <c r="G112" s="44">
        <f t="shared" si="4"/>
        <v>52.542372881355924</v>
      </c>
      <c r="H112" s="44">
        <f t="shared" si="5"/>
        <v>44.198174706649276</v>
      </c>
      <c r="I112" s="44">
        <f t="shared" si="6"/>
        <v>3.259452411994785</v>
      </c>
      <c r="J112" s="42">
        <v>1.2544137504907509E-2</v>
      </c>
      <c r="K112" s="42">
        <v>1.4788376455091334</v>
      </c>
      <c r="L112" s="44">
        <v>5.19487916757519E-2</v>
      </c>
      <c r="M112" s="44">
        <v>0.33375459624495801</v>
      </c>
    </row>
    <row r="113" spans="1:13" ht="15.75" thickBot="1" x14ac:dyDescent="0.3">
      <c r="A113" s="80"/>
      <c r="B113" s="28">
        <v>24.4</v>
      </c>
      <c r="C113" s="28">
        <v>43.9</v>
      </c>
      <c r="D113" s="28">
        <v>29.7</v>
      </c>
      <c r="E113" s="28">
        <v>2</v>
      </c>
      <c r="F113">
        <f t="shared" si="7"/>
        <v>31.7</v>
      </c>
      <c r="G113" s="44">
        <f t="shared" si="4"/>
        <v>58.06878306878307</v>
      </c>
      <c r="H113" s="44">
        <f t="shared" si="5"/>
        <v>39.285714285714292</v>
      </c>
      <c r="I113" s="44">
        <f t="shared" si="6"/>
        <v>2.6455026455026456</v>
      </c>
      <c r="J113" s="42">
        <v>1.4793596345733242E-2</v>
      </c>
      <c r="K113" s="42">
        <v>1.4912419256661158</v>
      </c>
      <c r="L113" s="44">
        <v>5.0903335399632099E-2</v>
      </c>
      <c r="M113" s="44">
        <v>0.33360592128039401</v>
      </c>
    </row>
    <row r="114" spans="1:13" ht="15.75" thickBot="1" x14ac:dyDescent="0.3">
      <c r="A114" s="14" t="s">
        <v>75</v>
      </c>
      <c r="B114" s="26">
        <v>27.2</v>
      </c>
      <c r="C114" s="26">
        <v>37.799999999999997</v>
      </c>
      <c r="D114" s="26">
        <v>29</v>
      </c>
      <c r="E114" s="26">
        <v>6</v>
      </c>
      <c r="F114">
        <f t="shared" si="7"/>
        <v>35</v>
      </c>
      <c r="G114" s="44">
        <f t="shared" si="4"/>
        <v>51.92307692307692</v>
      </c>
      <c r="H114" s="44">
        <f t="shared" si="5"/>
        <v>39.835164835164839</v>
      </c>
      <c r="I114" s="44">
        <f t="shared" si="6"/>
        <v>8.2417582417582409</v>
      </c>
      <c r="J114" s="42">
        <v>1.2114352605276962E-2</v>
      </c>
      <c r="K114" s="42">
        <v>1.4295425049057351</v>
      </c>
      <c r="L114" s="44">
        <v>5.9604612837773303E-2</v>
      </c>
      <c r="M114" s="44">
        <v>0.33997403334693799</v>
      </c>
    </row>
    <row r="115" spans="1:13" x14ac:dyDescent="0.25">
      <c r="A115" s="79" t="s">
        <v>76</v>
      </c>
      <c r="B115" s="27">
        <v>30.1</v>
      </c>
      <c r="C115" s="27">
        <v>52.7</v>
      </c>
      <c r="D115" s="27">
        <v>17.2</v>
      </c>
      <c r="E115" s="27">
        <v>0</v>
      </c>
      <c r="F115">
        <f t="shared" si="7"/>
        <v>17.2</v>
      </c>
      <c r="G115" s="44">
        <f t="shared" si="4"/>
        <v>75.393419170243206</v>
      </c>
      <c r="H115" s="44">
        <f t="shared" si="5"/>
        <v>24.606580829756791</v>
      </c>
      <c r="I115" s="44">
        <f t="shared" si="6"/>
        <v>0</v>
      </c>
      <c r="J115" s="42">
        <v>2.3610160647232266E-2</v>
      </c>
      <c r="K115" s="42">
        <v>1.6956167872850949</v>
      </c>
      <c r="L115" s="44">
        <v>4.6540663962712399E-2</v>
      </c>
      <c r="M115" s="44">
        <v>0.334528496789396</v>
      </c>
    </row>
    <row r="116" spans="1:13" x14ac:dyDescent="0.25">
      <c r="A116" s="81"/>
      <c r="B116" s="29">
        <v>20</v>
      </c>
      <c r="C116" s="29">
        <v>41.9</v>
      </c>
      <c r="D116" s="29">
        <v>28.8</v>
      </c>
      <c r="E116" s="29">
        <v>9.3000000000000007</v>
      </c>
      <c r="F116">
        <f t="shared" si="7"/>
        <v>38.1</v>
      </c>
      <c r="G116" s="44">
        <f t="shared" si="4"/>
        <v>52.374999999999993</v>
      </c>
      <c r="H116" s="44">
        <f t="shared" si="5"/>
        <v>36</v>
      </c>
      <c r="I116" s="44">
        <f t="shared" si="6"/>
        <v>11.625</v>
      </c>
      <c r="J116" s="42">
        <v>1.2154545665838824E-2</v>
      </c>
      <c r="K116" s="42">
        <v>1.4005803112559085</v>
      </c>
      <c r="L116" s="44">
        <v>6.5487735435799596E-2</v>
      </c>
      <c r="M116" s="44">
        <v>0.344857864082664</v>
      </c>
    </row>
    <row r="117" spans="1:13" ht="15.75" thickBot="1" x14ac:dyDescent="0.3">
      <c r="A117" s="80"/>
      <c r="B117" s="28">
        <v>17.2</v>
      </c>
      <c r="C117" s="28">
        <v>47.5</v>
      </c>
      <c r="D117" s="28">
        <v>32.799999999999997</v>
      </c>
      <c r="E117" s="28">
        <v>2.5</v>
      </c>
      <c r="F117">
        <f t="shared" si="7"/>
        <v>35.299999999999997</v>
      </c>
      <c r="G117" s="44">
        <f t="shared" si="4"/>
        <v>57.367149758454104</v>
      </c>
      <c r="H117" s="44">
        <f t="shared" si="5"/>
        <v>39.613526570048307</v>
      </c>
      <c r="I117" s="44">
        <f t="shared" si="6"/>
        <v>3.0193236714975846</v>
      </c>
      <c r="J117" s="42">
        <v>1.4476184349235305E-2</v>
      </c>
      <c r="K117" s="42">
        <v>1.4855991648374687</v>
      </c>
      <c r="L117" s="44">
        <v>5.1445800243975499E-2</v>
      </c>
      <c r="M117" s="44">
        <v>0.33399039815326997</v>
      </c>
    </row>
    <row r="118" spans="1:13" x14ac:dyDescent="0.25">
      <c r="A118" s="79" t="s">
        <v>77</v>
      </c>
      <c r="B118" s="27">
        <v>20.2</v>
      </c>
      <c r="C118" s="27">
        <v>44.2</v>
      </c>
      <c r="D118" s="27">
        <v>32.5</v>
      </c>
      <c r="E118" s="27">
        <v>3.1</v>
      </c>
      <c r="F118">
        <f t="shared" si="7"/>
        <v>35.6</v>
      </c>
      <c r="G118" s="44">
        <f t="shared" si="4"/>
        <v>55.388471177944865</v>
      </c>
      <c r="H118" s="44">
        <f t="shared" si="5"/>
        <v>40.72681704260652</v>
      </c>
      <c r="I118" s="44">
        <f t="shared" si="6"/>
        <v>3.8847117794486219</v>
      </c>
      <c r="J118" s="42">
        <v>1.3618559360584955E-2</v>
      </c>
      <c r="K118" s="42">
        <v>1.473384193244089</v>
      </c>
      <c r="L118" s="44">
        <v>5.27352003451683E-2</v>
      </c>
      <c r="M118" s="44">
        <v>0.33480817741319602</v>
      </c>
    </row>
    <row r="119" spans="1:13" ht="15.75" thickBot="1" x14ac:dyDescent="0.3">
      <c r="A119" s="80"/>
      <c r="B119" s="28">
        <v>20</v>
      </c>
      <c r="C119" s="28">
        <v>39.9</v>
      </c>
      <c r="D119" s="28">
        <v>36.700000000000003</v>
      </c>
      <c r="E119" s="28">
        <v>3.4</v>
      </c>
      <c r="F119">
        <f t="shared" si="7"/>
        <v>40.1</v>
      </c>
      <c r="G119" s="44">
        <f t="shared" si="4"/>
        <v>49.875</v>
      </c>
      <c r="H119" s="44">
        <f t="shared" si="5"/>
        <v>45.875000000000007</v>
      </c>
      <c r="I119" s="44">
        <f t="shared" si="6"/>
        <v>4.25</v>
      </c>
      <c r="J119" s="42">
        <v>1.1515865979906255E-2</v>
      </c>
      <c r="K119" s="42">
        <v>1.4696542808320934</v>
      </c>
      <c r="L119" s="44">
        <v>5.3466349343855898E-2</v>
      </c>
      <c r="M119" s="44">
        <v>0.334758908283184</v>
      </c>
    </row>
    <row r="120" spans="1:13" x14ac:dyDescent="0.25">
      <c r="A120" s="79" t="s">
        <v>78</v>
      </c>
      <c r="B120" s="27">
        <v>16.899999999999999</v>
      </c>
      <c r="C120" s="27">
        <v>42.2</v>
      </c>
      <c r="D120" s="27">
        <v>32.1</v>
      </c>
      <c r="E120" s="27">
        <v>8.8000000000000007</v>
      </c>
      <c r="F120">
        <f t="shared" si="7"/>
        <v>40.900000000000006</v>
      </c>
      <c r="G120" s="44">
        <f t="shared" si="4"/>
        <v>50.782190132370644</v>
      </c>
      <c r="H120" s="44">
        <f t="shared" si="5"/>
        <v>38.628158844765345</v>
      </c>
      <c r="I120" s="44">
        <f t="shared" si="6"/>
        <v>10.58965102286402</v>
      </c>
      <c r="J120" s="42">
        <v>1.1648496893988785E-2</v>
      </c>
      <c r="K120" s="42">
        <v>1.4095423838082108</v>
      </c>
      <c r="L120" s="44">
        <v>6.3664385976707497E-2</v>
      </c>
      <c r="M120" s="44">
        <v>0.34296765848033001</v>
      </c>
    </row>
    <row r="121" spans="1:13" ht="15.75" thickBot="1" x14ac:dyDescent="0.3">
      <c r="A121" s="80"/>
      <c r="B121" s="28">
        <v>26.7</v>
      </c>
      <c r="C121" s="28">
        <v>46.2</v>
      </c>
      <c r="D121" s="28">
        <v>27.1</v>
      </c>
      <c r="E121" s="28">
        <v>0</v>
      </c>
      <c r="F121">
        <f t="shared" si="7"/>
        <v>27.1</v>
      </c>
      <c r="G121" s="44">
        <f t="shared" si="4"/>
        <v>63.028649386084588</v>
      </c>
      <c r="H121" s="44">
        <f t="shared" si="5"/>
        <v>36.971350613915419</v>
      </c>
      <c r="I121" s="44">
        <f t="shared" si="6"/>
        <v>0</v>
      </c>
      <c r="J121" s="42">
        <v>1.7266785385361787E-2</v>
      </c>
      <c r="K121" s="42">
        <v>1.5429965586616272</v>
      </c>
      <c r="L121" s="44">
        <v>4.7170181070384301E-2</v>
      </c>
      <c r="M121" s="44">
        <v>0.330983070079093</v>
      </c>
    </row>
    <row r="122" spans="1:13" ht="15.75" thickBot="1" x14ac:dyDescent="0.3">
      <c r="A122" s="14" t="s">
        <v>79</v>
      </c>
      <c r="B122" s="26">
        <v>34.5</v>
      </c>
      <c r="C122" s="26">
        <v>45.8</v>
      </c>
      <c r="D122" s="26">
        <v>19.7</v>
      </c>
      <c r="E122" s="28">
        <v>0</v>
      </c>
      <c r="F122">
        <f t="shared" si="7"/>
        <v>19.7</v>
      </c>
      <c r="G122" s="44">
        <f t="shared" si="4"/>
        <v>69.923664122137396</v>
      </c>
      <c r="H122" s="44">
        <f t="shared" si="5"/>
        <v>30.076335877862594</v>
      </c>
      <c r="I122" s="44">
        <f t="shared" si="6"/>
        <v>0</v>
      </c>
      <c r="J122" s="42">
        <v>2.0664726423244628E-2</v>
      </c>
      <c r="K122" s="42">
        <v>1.6029405453737786</v>
      </c>
      <c r="L122" s="44">
        <v>4.6842844815990797E-2</v>
      </c>
      <c r="M122" s="44">
        <v>0.332638657473872</v>
      </c>
    </row>
    <row r="123" spans="1:13" ht="15.75" thickBot="1" x14ac:dyDescent="0.3">
      <c r="A123" s="14" t="s">
        <v>80</v>
      </c>
      <c r="B123" s="26">
        <v>25</v>
      </c>
      <c r="C123" s="26">
        <v>49.3</v>
      </c>
      <c r="D123" s="26">
        <v>25.7</v>
      </c>
      <c r="E123" s="28">
        <v>0</v>
      </c>
      <c r="F123">
        <f t="shared" si="7"/>
        <v>25.7</v>
      </c>
      <c r="G123" s="44">
        <f t="shared" si="4"/>
        <v>65.733333333333334</v>
      </c>
      <c r="H123" s="44">
        <f t="shared" si="5"/>
        <v>34.266666666666666</v>
      </c>
      <c r="I123" s="44">
        <f t="shared" si="6"/>
        <v>0</v>
      </c>
      <c r="J123" s="42">
        <v>1.8558513586254301E-2</v>
      </c>
      <c r="K123" s="42">
        <v>1.5609968943250787</v>
      </c>
      <c r="L123" s="44">
        <v>4.7047622467918902E-2</v>
      </c>
      <c r="M123" s="44">
        <v>0.33152716973363699</v>
      </c>
    </row>
    <row r="124" spans="1:13" x14ac:dyDescent="0.25">
      <c r="A124" s="79" t="s">
        <v>81</v>
      </c>
      <c r="B124" s="27">
        <v>13.2</v>
      </c>
      <c r="C124" s="27">
        <v>42.1</v>
      </c>
      <c r="D124" s="27">
        <v>35.799999999999997</v>
      </c>
      <c r="E124" s="27">
        <v>8.9</v>
      </c>
      <c r="F124">
        <f t="shared" si="7"/>
        <v>44.699999999999996</v>
      </c>
      <c r="G124" s="44">
        <f t="shared" si="4"/>
        <v>48.502304147465445</v>
      </c>
      <c r="H124" s="44">
        <f t="shared" si="5"/>
        <v>41.244239631336406</v>
      </c>
      <c r="I124" s="44">
        <f t="shared" si="6"/>
        <v>10.253456221198158</v>
      </c>
      <c r="J124" s="42">
        <v>1.0899749216822604E-2</v>
      </c>
      <c r="K124" s="42">
        <v>1.4141995203833835</v>
      </c>
      <c r="L124" s="44">
        <v>6.3133883316042902E-2</v>
      </c>
      <c r="M124" s="44">
        <v>0.342062189805173</v>
      </c>
    </row>
    <row r="125" spans="1:13" x14ac:dyDescent="0.25">
      <c r="A125" s="81"/>
      <c r="B125" s="29">
        <v>21.1</v>
      </c>
      <c r="C125" s="29">
        <v>42</v>
      </c>
      <c r="D125" s="29">
        <v>36.9</v>
      </c>
      <c r="E125" s="29">
        <v>0</v>
      </c>
      <c r="F125">
        <f t="shared" si="7"/>
        <v>36.9</v>
      </c>
      <c r="G125" s="44">
        <f t="shared" si="4"/>
        <v>53.231939163498097</v>
      </c>
      <c r="H125" s="44">
        <f t="shared" si="5"/>
        <v>46.768060836501895</v>
      </c>
      <c r="I125" s="44">
        <f t="shared" si="6"/>
        <v>0</v>
      </c>
      <c r="J125" s="42">
        <v>1.2991965498879083E-2</v>
      </c>
      <c r="K125" s="42">
        <v>1.517429100701178</v>
      </c>
      <c r="L125" s="44">
        <v>4.7620787994503901E-2</v>
      </c>
      <c r="M125" s="44">
        <v>0.330162185247655</v>
      </c>
    </row>
    <row r="126" spans="1:13" ht="15.75" thickBot="1" x14ac:dyDescent="0.3">
      <c r="A126" s="80"/>
      <c r="B126" s="28">
        <v>46.2</v>
      </c>
      <c r="C126" s="28">
        <v>35.1</v>
      </c>
      <c r="D126" s="28">
        <v>18.7</v>
      </c>
      <c r="E126" s="29">
        <v>0</v>
      </c>
      <c r="F126">
        <f t="shared" si="7"/>
        <v>18.7</v>
      </c>
      <c r="G126" s="44">
        <f t="shared" si="4"/>
        <v>65.241635687732341</v>
      </c>
      <c r="H126" s="44">
        <f t="shared" si="5"/>
        <v>34.758364312267659</v>
      </c>
      <c r="I126" s="44">
        <f t="shared" si="6"/>
        <v>0</v>
      </c>
      <c r="J126" s="42">
        <v>1.8320338019793898E-2</v>
      </c>
      <c r="K126" s="42">
        <v>1.5572714749553127</v>
      </c>
      <c r="L126" s="44">
        <v>4.70703170944686E-2</v>
      </c>
      <c r="M126" s="44">
        <v>0.331418248569256</v>
      </c>
    </row>
    <row r="127" spans="1:13" ht="15.75" thickBot="1" x14ac:dyDescent="0.3">
      <c r="A127" s="14" t="s">
        <v>82</v>
      </c>
      <c r="B127" s="26">
        <v>30.5</v>
      </c>
      <c r="C127" s="26">
        <v>40.5</v>
      </c>
      <c r="D127" s="26">
        <v>29</v>
      </c>
      <c r="E127" s="29">
        <v>0</v>
      </c>
      <c r="F127">
        <f t="shared" si="7"/>
        <v>29</v>
      </c>
      <c r="G127" s="44">
        <f t="shared" si="4"/>
        <v>58.273381294964032</v>
      </c>
      <c r="H127" s="44">
        <f t="shared" si="5"/>
        <v>41.726618705035975</v>
      </c>
      <c r="I127" s="44">
        <f t="shared" si="6"/>
        <v>0</v>
      </c>
      <c r="J127" s="42">
        <v>1.5109522721636374E-2</v>
      </c>
      <c r="K127" s="42">
        <v>1.5240076789181876</v>
      </c>
      <c r="L127" s="44">
        <v>4.7378723621233701E-2</v>
      </c>
      <c r="M127" s="44">
        <v>0.33035587224586799</v>
      </c>
    </row>
    <row r="128" spans="1:13" ht="15.75" thickBot="1" x14ac:dyDescent="0.3">
      <c r="A128" s="14" t="s">
        <v>83</v>
      </c>
      <c r="B128" s="26">
        <v>27.5</v>
      </c>
      <c r="C128" s="26">
        <v>48.3</v>
      </c>
      <c r="D128" s="26">
        <v>24.2</v>
      </c>
      <c r="E128" s="29">
        <v>0</v>
      </c>
      <c r="F128">
        <f t="shared" si="7"/>
        <v>24.2</v>
      </c>
      <c r="G128" s="44">
        <f t="shared" si="4"/>
        <v>66.620689655172399</v>
      </c>
      <c r="H128" s="44">
        <f t="shared" si="5"/>
        <v>33.379310344827587</v>
      </c>
      <c r="I128" s="44">
        <f t="shared" si="6"/>
        <v>0</v>
      </c>
      <c r="J128" s="42">
        <v>1.8995426001839143E-2</v>
      </c>
      <c r="K128" s="42">
        <v>1.5683357633538035</v>
      </c>
      <c r="L128" s="44">
        <v>4.7005798183510701E-2</v>
      </c>
      <c r="M128" s="44">
        <v>0.33173647183028099</v>
      </c>
    </row>
    <row r="129" spans="1:13" ht="15.75" thickBot="1" x14ac:dyDescent="0.3">
      <c r="A129" s="14" t="s">
        <v>84</v>
      </c>
      <c r="B129" s="26">
        <v>34.5</v>
      </c>
      <c r="C129" s="26">
        <v>48.8</v>
      </c>
      <c r="D129" s="26">
        <v>16.7</v>
      </c>
      <c r="E129" s="29">
        <v>0</v>
      </c>
      <c r="F129">
        <f t="shared" si="7"/>
        <v>16.7</v>
      </c>
      <c r="G129" s="44">
        <f t="shared" si="4"/>
        <v>74.503816793893122</v>
      </c>
      <c r="H129" s="44">
        <f t="shared" si="5"/>
        <v>25.496183206106871</v>
      </c>
      <c r="I129" s="44">
        <f t="shared" si="6"/>
        <v>0</v>
      </c>
      <c r="J129" s="42">
        <v>2.3115074029240588E-2</v>
      </c>
      <c r="K129" s="42">
        <v>1.676641061872665</v>
      </c>
      <c r="L129" s="44">
        <v>4.6592599997657698E-2</v>
      </c>
      <c r="M129" s="44">
        <v>0.33419195174380401</v>
      </c>
    </row>
    <row r="130" spans="1:13" ht="15.75" thickBot="1" x14ac:dyDescent="0.3">
      <c r="A130" s="14" t="s">
        <v>85</v>
      </c>
      <c r="B130" s="26">
        <v>11.9</v>
      </c>
      <c r="C130" s="26">
        <v>27.2</v>
      </c>
      <c r="D130" s="26">
        <v>52.8</v>
      </c>
      <c r="E130" s="26">
        <v>8.1</v>
      </c>
      <c r="F130">
        <f t="shared" si="7"/>
        <v>60.9</v>
      </c>
      <c r="G130" s="44">
        <f t="shared" si="4"/>
        <v>30.87400681044268</v>
      </c>
      <c r="H130" s="44">
        <f t="shared" si="5"/>
        <v>59.931895573212259</v>
      </c>
      <c r="I130" s="44">
        <f t="shared" si="6"/>
        <v>9.1940976163450614</v>
      </c>
      <c r="J130" s="42">
        <v>6.663248762921594E-3</v>
      </c>
      <c r="K130" s="42">
        <v>1.4661375291317282</v>
      </c>
      <c r="L130" s="44">
        <v>6.2418761584103602E-2</v>
      </c>
      <c r="M130" s="44">
        <v>0.34628427704865999</v>
      </c>
    </row>
    <row r="131" spans="1:13" ht="15.75" thickBot="1" x14ac:dyDescent="0.3">
      <c r="A131" s="14" t="s">
        <v>86</v>
      </c>
      <c r="B131" s="26">
        <v>30.6</v>
      </c>
      <c r="C131" s="26">
        <v>65.3</v>
      </c>
      <c r="D131" s="26">
        <v>4.0999999999999996</v>
      </c>
      <c r="E131" s="26">
        <v>0</v>
      </c>
      <c r="F131">
        <f t="shared" si="7"/>
        <v>4.0999999999999996</v>
      </c>
      <c r="G131" s="44">
        <f t="shared" si="4"/>
        <v>94.092219020172891</v>
      </c>
      <c r="H131" s="44">
        <f t="shared" si="5"/>
        <v>5.9077809798270886</v>
      </c>
      <c r="I131" s="44">
        <f t="shared" si="6"/>
        <v>0</v>
      </c>
      <c r="J131" s="42">
        <v>3.5364688190037699E-2</v>
      </c>
      <c r="K131" s="42">
        <v>3.1111316316846236</v>
      </c>
      <c r="L131" s="44">
        <v>4.5516660335389397E-2</v>
      </c>
      <c r="M131" s="44">
        <v>0.342159871137035</v>
      </c>
    </row>
    <row r="132" spans="1:13" ht="15.75" thickBot="1" x14ac:dyDescent="0.3">
      <c r="A132" s="14" t="s">
        <v>87</v>
      </c>
      <c r="B132" s="26">
        <v>26.8</v>
      </c>
      <c r="C132" s="26">
        <v>44.8</v>
      </c>
      <c r="D132" s="26">
        <v>26.1</v>
      </c>
      <c r="E132" s="26">
        <v>2.2999999999999998</v>
      </c>
      <c r="F132">
        <f t="shared" si="7"/>
        <v>28.400000000000002</v>
      </c>
      <c r="G132" s="44">
        <f t="shared" si="4"/>
        <v>61.202185792349717</v>
      </c>
      <c r="H132" s="44">
        <f t="shared" si="5"/>
        <v>35.655737704918032</v>
      </c>
      <c r="I132" s="44">
        <f t="shared" si="6"/>
        <v>3.1420765027322397</v>
      </c>
      <c r="J132" s="42">
        <v>1.6078682037815113E-2</v>
      </c>
      <c r="K132" s="42">
        <v>1.4951534534694608</v>
      </c>
      <c r="L132" s="44">
        <v>5.1503177687833697E-2</v>
      </c>
      <c r="M132" s="44">
        <v>0.33486208505562598</v>
      </c>
    </row>
    <row r="133" spans="1:13" ht="15.75" thickBot="1" x14ac:dyDescent="0.3">
      <c r="A133" s="14" t="s">
        <v>88</v>
      </c>
      <c r="B133" s="26">
        <v>26.9</v>
      </c>
      <c r="C133" s="26">
        <v>44.5</v>
      </c>
      <c r="D133" s="26">
        <v>25.8</v>
      </c>
      <c r="E133" s="26">
        <v>2.8</v>
      </c>
      <c r="F133">
        <f t="shared" si="7"/>
        <v>28.6</v>
      </c>
      <c r="G133" s="44">
        <f t="shared" si="4"/>
        <v>60.875512995896045</v>
      </c>
      <c r="H133" s="44">
        <f t="shared" si="5"/>
        <v>35.294117647058826</v>
      </c>
      <c r="I133" s="44">
        <f t="shared" si="6"/>
        <v>3.8303693570451438</v>
      </c>
      <c r="J133" s="42">
        <v>1.5870717694773488E-2</v>
      </c>
      <c r="K133" s="42">
        <v>1.486195654499979</v>
      </c>
      <c r="L133" s="44">
        <v>5.2512694769197503E-2</v>
      </c>
      <c r="M133" s="44">
        <v>0.33575610940376499</v>
      </c>
    </row>
    <row r="134" spans="1:13" ht="15.75" thickBot="1" x14ac:dyDescent="0.3">
      <c r="A134" s="14" t="s">
        <v>89</v>
      </c>
      <c r="B134" s="26">
        <v>40.6</v>
      </c>
      <c r="C134" s="26">
        <v>47.2</v>
      </c>
      <c r="D134" s="26">
        <v>12.2</v>
      </c>
      <c r="E134" s="26">
        <v>0</v>
      </c>
      <c r="F134">
        <f t="shared" si="7"/>
        <v>12.2</v>
      </c>
      <c r="G134" s="44">
        <f t="shared" ref="G134:G160" si="8">C134/(100-B134)*100</f>
        <v>79.46127946127946</v>
      </c>
      <c r="H134" s="44">
        <f t="shared" ref="H134:H160" si="9">D134/(100-B134)*100</f>
        <v>20.538720538720536</v>
      </c>
      <c r="I134" s="44">
        <f t="shared" ref="I134:I160" si="10">E134/(100-B134)*100</f>
        <v>0</v>
      </c>
      <c r="J134" s="42">
        <v>2.5958143774035693E-2</v>
      </c>
      <c r="K134" s="42">
        <v>1.8101222964299883</v>
      </c>
      <c r="L134" s="44">
        <v>4.6293790905206599E-2</v>
      </c>
      <c r="M134" s="44">
        <v>0.3361688300574</v>
      </c>
    </row>
    <row r="135" spans="1:13" ht="15.75" thickBot="1" x14ac:dyDescent="0.3">
      <c r="A135" s="14" t="s">
        <v>90</v>
      </c>
      <c r="B135" s="26">
        <v>34</v>
      </c>
      <c r="C135" s="26">
        <v>52.6</v>
      </c>
      <c r="D135" s="26">
        <v>13.4</v>
      </c>
      <c r="E135" s="26">
        <v>0</v>
      </c>
      <c r="F135">
        <f t="shared" ref="F135:F160" si="11">D135+E135</f>
        <v>13.4</v>
      </c>
      <c r="G135" s="44">
        <f t="shared" si="8"/>
        <v>79.696969696969703</v>
      </c>
      <c r="H135" s="44">
        <f t="shared" si="9"/>
        <v>20.303030303030305</v>
      </c>
      <c r="I135" s="44">
        <f t="shared" si="10"/>
        <v>0</v>
      </c>
      <c r="J135" s="42">
        <v>2.610105731165142E-2</v>
      </c>
      <c r="K135" s="42">
        <v>1.8186275614868834</v>
      </c>
      <c r="L135" s="44">
        <v>4.6279010782096897E-2</v>
      </c>
      <c r="M135" s="44">
        <v>0.33626914923815798</v>
      </c>
    </row>
    <row r="136" spans="1:13" ht="15.75" thickBot="1" x14ac:dyDescent="0.3">
      <c r="A136" s="14" t="s">
        <v>91</v>
      </c>
      <c r="B136" s="26">
        <v>37.5</v>
      </c>
      <c r="C136" s="26">
        <v>55.8</v>
      </c>
      <c r="D136" s="26">
        <v>6.7</v>
      </c>
      <c r="E136" s="26">
        <v>0</v>
      </c>
      <c r="F136">
        <f t="shared" si="11"/>
        <v>6.7</v>
      </c>
      <c r="G136" s="44">
        <f t="shared" si="8"/>
        <v>89.279999999999987</v>
      </c>
      <c r="H136" s="44">
        <f t="shared" si="9"/>
        <v>10.72</v>
      </c>
      <c r="I136" s="44">
        <f t="shared" si="10"/>
        <v>0</v>
      </c>
      <c r="J136" s="42">
        <v>3.2201393666654754E-2</v>
      </c>
      <c r="K136" s="42">
        <v>2.4506943666247243</v>
      </c>
      <c r="L136" s="44">
        <v>4.5747546673063397E-2</v>
      </c>
      <c r="M136" s="44">
        <v>0.34020998609669501</v>
      </c>
    </row>
    <row r="137" spans="1:13" ht="15.75" thickBot="1" x14ac:dyDescent="0.3">
      <c r="A137" s="14" t="s">
        <v>92</v>
      </c>
      <c r="B137" s="26">
        <v>29.5</v>
      </c>
      <c r="C137" s="26">
        <v>39.5</v>
      </c>
      <c r="D137" s="26">
        <v>31</v>
      </c>
      <c r="E137" s="26">
        <v>0</v>
      </c>
      <c r="F137">
        <f t="shared" si="11"/>
        <v>31</v>
      </c>
      <c r="G137" s="44">
        <f t="shared" si="8"/>
        <v>56.028368794326241</v>
      </c>
      <c r="H137" s="44">
        <f t="shared" si="9"/>
        <v>43.971631205673759</v>
      </c>
      <c r="I137" s="44">
        <f t="shared" si="10"/>
        <v>0</v>
      </c>
      <c r="J137" s="42">
        <v>1.414648871697328E-2</v>
      </c>
      <c r="K137" s="42">
        <v>1.519600370084899</v>
      </c>
      <c r="L137" s="44">
        <v>4.74805786702528E-2</v>
      </c>
      <c r="M137" s="44">
        <v>0.33020659113550899</v>
      </c>
    </row>
    <row r="138" spans="1:13" x14ac:dyDescent="0.25">
      <c r="A138" s="79" t="s">
        <v>93</v>
      </c>
      <c r="B138" s="27">
        <v>9.1999999999999993</v>
      </c>
      <c r="C138" s="27">
        <v>45.7</v>
      </c>
      <c r="D138" s="27">
        <v>38.299999999999997</v>
      </c>
      <c r="E138" s="27">
        <v>6.8</v>
      </c>
      <c r="F138">
        <f t="shared" si="11"/>
        <v>45.099999999999994</v>
      </c>
      <c r="G138" s="44">
        <f t="shared" si="8"/>
        <v>50.330396475770932</v>
      </c>
      <c r="H138" s="44">
        <f t="shared" si="9"/>
        <v>42.180616740088105</v>
      </c>
      <c r="I138" s="44">
        <f t="shared" si="10"/>
        <v>7.4889867841409687</v>
      </c>
      <c r="J138" s="42">
        <v>1.1578497424028295E-2</v>
      </c>
      <c r="K138" s="42">
        <v>1.4371592501648376</v>
      </c>
      <c r="L138" s="44">
        <v>5.84189654904433E-2</v>
      </c>
      <c r="M138" s="44">
        <v>0.33872670975841601</v>
      </c>
    </row>
    <row r="139" spans="1:13" x14ac:dyDescent="0.25">
      <c r="A139" s="81"/>
      <c r="B139" s="29">
        <v>21.5</v>
      </c>
      <c r="C139" s="29">
        <v>63</v>
      </c>
      <c r="D139" s="29">
        <v>15.5</v>
      </c>
      <c r="E139" s="29">
        <v>0</v>
      </c>
      <c r="F139">
        <f t="shared" si="11"/>
        <v>15.5</v>
      </c>
      <c r="G139" s="44">
        <f t="shared" si="8"/>
        <v>80.254777070063696</v>
      </c>
      <c r="H139" s="44">
        <f t="shared" si="9"/>
        <v>19.745222929936308</v>
      </c>
      <c r="I139" s="44">
        <f t="shared" si="10"/>
        <v>0</v>
      </c>
      <c r="J139" s="42">
        <v>2.6430495721424196E-2</v>
      </c>
      <c r="K139" s="42">
        <v>1.8390158332534003</v>
      </c>
      <c r="L139" s="44">
        <v>4.6245179459204401E-2</v>
      </c>
      <c r="M139" s="44">
        <v>0.336499835192063</v>
      </c>
    </row>
    <row r="140" spans="1:13" ht="15.75" thickBot="1" x14ac:dyDescent="0.3">
      <c r="A140" s="80"/>
      <c r="B140" s="28">
        <v>32.299999999999997</v>
      </c>
      <c r="C140" s="28">
        <v>50.5</v>
      </c>
      <c r="D140" s="28">
        <v>17.2</v>
      </c>
      <c r="E140" s="28">
        <v>0</v>
      </c>
      <c r="F140">
        <f t="shared" si="11"/>
        <v>17.2</v>
      </c>
      <c r="G140" s="44">
        <f t="shared" si="8"/>
        <v>74.593796159527329</v>
      </c>
      <c r="H140" s="44">
        <f t="shared" si="9"/>
        <v>25.406203840472674</v>
      </c>
      <c r="I140" s="44">
        <f t="shared" si="10"/>
        <v>0</v>
      </c>
      <c r="J140" s="42">
        <v>2.3164850075140075E-2</v>
      </c>
      <c r="K140" s="42">
        <v>1.6784789525396249</v>
      </c>
      <c r="L140" s="44">
        <v>4.6587393278498798E-2</v>
      </c>
      <c r="M140" s="44">
        <v>0.33422553350808698</v>
      </c>
    </row>
    <row r="141" spans="1:13" x14ac:dyDescent="0.25">
      <c r="A141" s="79" t="s">
        <v>94</v>
      </c>
      <c r="B141" s="27">
        <v>13.5</v>
      </c>
      <c r="C141" s="27">
        <v>37.700000000000003</v>
      </c>
      <c r="D141" s="27">
        <v>40.6</v>
      </c>
      <c r="E141" s="27">
        <v>8.1999999999999993</v>
      </c>
      <c r="F141">
        <f t="shared" si="11"/>
        <v>48.8</v>
      </c>
      <c r="G141" s="44">
        <f t="shared" si="8"/>
        <v>43.583815028901739</v>
      </c>
      <c r="H141" s="44">
        <f t="shared" si="9"/>
        <v>46.936416184971101</v>
      </c>
      <c r="I141" s="44">
        <f t="shared" si="10"/>
        <v>9.4797687861271669</v>
      </c>
      <c r="J141" s="42">
        <v>9.3935451640272498E-3</v>
      </c>
      <c r="K141" s="42">
        <v>1.4289314842627716</v>
      </c>
      <c r="L141" s="44">
        <v>6.1992503970774097E-2</v>
      </c>
      <c r="M141" s="44">
        <v>0.34084269220605901</v>
      </c>
    </row>
    <row r="142" spans="1:13" x14ac:dyDescent="0.25">
      <c r="A142" s="81"/>
      <c r="B142" s="29">
        <v>20</v>
      </c>
      <c r="C142" s="29">
        <v>36.9</v>
      </c>
      <c r="D142" s="29">
        <v>35.200000000000003</v>
      </c>
      <c r="E142" s="29">
        <v>7.9</v>
      </c>
      <c r="F142">
        <f t="shared" si="11"/>
        <v>43.1</v>
      </c>
      <c r="G142" s="44">
        <f t="shared" si="8"/>
        <v>46.125</v>
      </c>
      <c r="H142" s="44">
        <f t="shared" si="9"/>
        <v>44.000000000000007</v>
      </c>
      <c r="I142" s="44">
        <f t="shared" si="10"/>
        <v>9.875</v>
      </c>
      <c r="J142" s="42">
        <v>1.0142028040674274E-2</v>
      </c>
      <c r="K142" s="42">
        <v>1.4207013031551179</v>
      </c>
      <c r="L142" s="44">
        <v>6.2568853223109497E-2</v>
      </c>
      <c r="M142" s="44">
        <v>0.34127214499660702</v>
      </c>
    </row>
    <row r="143" spans="1:13" ht="15.75" thickBot="1" x14ac:dyDescent="0.3">
      <c r="A143" s="80"/>
      <c r="B143" s="28">
        <v>33.5</v>
      </c>
      <c r="C143" s="28">
        <v>55.5</v>
      </c>
      <c r="D143" s="28">
        <v>11</v>
      </c>
      <c r="E143" s="28">
        <v>0</v>
      </c>
      <c r="F143">
        <f t="shared" si="11"/>
        <v>11</v>
      </c>
      <c r="G143" s="44">
        <f t="shared" si="8"/>
        <v>83.458646616541358</v>
      </c>
      <c r="H143" s="44">
        <f t="shared" si="9"/>
        <v>16.541353383458645</v>
      </c>
      <c r="I143" s="44">
        <f t="shared" si="10"/>
        <v>0</v>
      </c>
      <c r="J143" s="42">
        <v>2.8407604125895769E-2</v>
      </c>
      <c r="K143" s="42">
        <v>1.98780183902114</v>
      </c>
      <c r="L143" s="44">
        <v>4.6052492920103903E-2</v>
      </c>
      <c r="M143" s="44">
        <v>0.33785033437491002</v>
      </c>
    </row>
    <row r="144" spans="1:13" ht="15.75" thickBot="1" x14ac:dyDescent="0.3">
      <c r="A144" s="14" t="s">
        <v>95</v>
      </c>
      <c r="B144" s="26">
        <v>39.9</v>
      </c>
      <c r="C144" s="26">
        <v>45.9</v>
      </c>
      <c r="D144" s="26">
        <v>14.2</v>
      </c>
      <c r="E144" s="28">
        <v>0</v>
      </c>
      <c r="F144">
        <f t="shared" si="11"/>
        <v>14.2</v>
      </c>
      <c r="G144" s="44">
        <f t="shared" si="8"/>
        <v>76.372712146422629</v>
      </c>
      <c r="H144" s="44">
        <f t="shared" si="9"/>
        <v>23.627287853577368</v>
      </c>
      <c r="I144" s="44">
        <f t="shared" si="10"/>
        <v>0</v>
      </c>
      <c r="J144" s="42">
        <v>2.4162762382958003E-2</v>
      </c>
      <c r="K144" s="42">
        <v>1.7187206260018937</v>
      </c>
      <c r="L144" s="44">
        <v>4.6482406988688198E-2</v>
      </c>
      <c r="M144" s="44">
        <v>0.33490979898240197</v>
      </c>
    </row>
    <row r="145" spans="1:13" ht="15.75" thickBot="1" x14ac:dyDescent="0.3">
      <c r="A145" s="79" t="s">
        <v>96</v>
      </c>
      <c r="B145" s="27">
        <v>33.799999999999997</v>
      </c>
      <c r="C145" s="27">
        <v>61.9</v>
      </c>
      <c r="D145" s="27">
        <v>4.3</v>
      </c>
      <c r="E145" s="28">
        <v>0</v>
      </c>
      <c r="F145">
        <f t="shared" si="11"/>
        <v>4.3</v>
      </c>
      <c r="G145" s="44">
        <f t="shared" si="8"/>
        <v>93.504531722054367</v>
      </c>
      <c r="H145" s="44">
        <f t="shared" si="9"/>
        <v>6.4954682779456192</v>
      </c>
      <c r="I145" s="44">
        <f t="shared" si="10"/>
        <v>0</v>
      </c>
      <c r="J145" s="42">
        <v>3.4979329736731776E-2</v>
      </c>
      <c r="K145" s="42">
        <v>3.0128793269122989</v>
      </c>
      <c r="L145" s="44">
        <v>4.55451669934505E-2</v>
      </c>
      <c r="M145" s="44">
        <v>0.34191576286763797</v>
      </c>
    </row>
    <row r="146" spans="1:13" ht="15.75" thickBot="1" x14ac:dyDescent="0.3">
      <c r="A146" s="81"/>
      <c r="B146" s="29">
        <v>26.2</v>
      </c>
      <c r="C146" s="29">
        <v>58.1</v>
      </c>
      <c r="D146" s="29">
        <v>15.7</v>
      </c>
      <c r="E146" s="28">
        <v>0</v>
      </c>
      <c r="F146">
        <f t="shared" si="11"/>
        <v>15.7</v>
      </c>
      <c r="G146" s="44">
        <f t="shared" si="8"/>
        <v>78.726287262872631</v>
      </c>
      <c r="H146" s="44">
        <f t="shared" si="9"/>
        <v>21.273712737127369</v>
      </c>
      <c r="I146" s="44">
        <f t="shared" si="10"/>
        <v>0</v>
      </c>
      <c r="J146" s="42">
        <v>2.5526564957784242E-2</v>
      </c>
      <c r="K146" s="42">
        <v>1.7856220926892283</v>
      </c>
      <c r="L146" s="44">
        <v>4.6338735417256298E-2</v>
      </c>
      <c r="M146" s="44">
        <v>0.33586536812307599</v>
      </c>
    </row>
    <row r="147" spans="1:13" ht="15.75" thickBot="1" x14ac:dyDescent="0.3">
      <c r="A147" s="80"/>
      <c r="B147" s="28">
        <v>29</v>
      </c>
      <c r="C147" s="28">
        <v>45</v>
      </c>
      <c r="D147" s="28">
        <v>26</v>
      </c>
      <c r="E147" s="28">
        <v>0</v>
      </c>
      <c r="F147">
        <f t="shared" si="11"/>
        <v>26</v>
      </c>
      <c r="G147" s="44">
        <f t="shared" si="8"/>
        <v>63.380281690140848</v>
      </c>
      <c r="H147" s="44">
        <f t="shared" si="9"/>
        <v>36.619718309859159</v>
      </c>
      <c r="I147" s="44">
        <f t="shared" si="10"/>
        <v>0</v>
      </c>
      <c r="J147" s="42">
        <v>1.7431401983145599E-2</v>
      </c>
      <c r="K147" s="42">
        <v>1.5449978868678849</v>
      </c>
      <c r="L147" s="44">
        <v>4.7154602508398202E-2</v>
      </c>
      <c r="M147" s="44">
        <v>0.33104586332080099</v>
      </c>
    </row>
    <row r="148" spans="1:13" x14ac:dyDescent="0.25">
      <c r="A148" s="79" t="s">
        <v>97</v>
      </c>
      <c r="B148" s="27">
        <v>22.5</v>
      </c>
      <c r="C148" s="27">
        <v>54.8</v>
      </c>
      <c r="D148" s="27">
        <v>19.5</v>
      </c>
      <c r="E148" s="27">
        <v>3.2</v>
      </c>
      <c r="F148">
        <f t="shared" si="11"/>
        <v>22.7</v>
      </c>
      <c r="G148" s="44">
        <f t="shared" si="8"/>
        <v>70.709677419354833</v>
      </c>
      <c r="H148" s="44">
        <f t="shared" si="9"/>
        <v>25.161290322580644</v>
      </c>
      <c r="I148" s="44">
        <f t="shared" si="10"/>
        <v>4.129032258064516</v>
      </c>
      <c r="J148" s="42">
        <v>2.0222847253862909E-2</v>
      </c>
      <c r="K148" s="42">
        <v>1.5528814940092102</v>
      </c>
      <c r="L148" s="44">
        <v>5.2645119440302597E-2</v>
      </c>
      <c r="M148" s="44">
        <v>0.33933554087590301</v>
      </c>
    </row>
    <row r="149" spans="1:13" ht="15.75" thickBot="1" x14ac:dyDescent="0.3">
      <c r="A149" s="80"/>
      <c r="B149" s="28">
        <v>33.4</v>
      </c>
      <c r="C149" s="28">
        <v>35.1</v>
      </c>
      <c r="D149" s="28">
        <v>28.5</v>
      </c>
      <c r="E149" s="28">
        <v>3</v>
      </c>
      <c r="F149">
        <f t="shared" si="11"/>
        <v>31.5</v>
      </c>
      <c r="G149" s="44">
        <f t="shared" si="8"/>
        <v>52.702702702702709</v>
      </c>
      <c r="H149" s="44">
        <f t="shared" si="9"/>
        <v>42.792792792792795</v>
      </c>
      <c r="I149" s="44">
        <f t="shared" si="10"/>
        <v>4.5045045045045047</v>
      </c>
      <c r="J149" s="42">
        <v>1.2548983181314184E-2</v>
      </c>
      <c r="K149" s="42">
        <v>1.4655746733134911</v>
      </c>
      <c r="L149" s="44">
        <v>5.3725850306999001E-2</v>
      </c>
      <c r="M149" s="44">
        <v>0.33526913419605697</v>
      </c>
    </row>
    <row r="150" spans="1:13" ht="15.75" thickBot="1" x14ac:dyDescent="0.3">
      <c r="A150" s="14" t="s">
        <v>98</v>
      </c>
      <c r="B150" s="26">
        <v>35.9</v>
      </c>
      <c r="C150" s="26">
        <v>48.3</v>
      </c>
      <c r="D150" s="26">
        <v>15.8</v>
      </c>
      <c r="E150" s="26">
        <v>0</v>
      </c>
      <c r="F150">
        <f t="shared" si="11"/>
        <v>15.8</v>
      </c>
      <c r="G150" s="44">
        <f t="shared" si="8"/>
        <v>75.351014040561623</v>
      </c>
      <c r="H150" s="44">
        <f t="shared" si="9"/>
        <v>24.648985959438381</v>
      </c>
      <c r="I150" s="44">
        <f t="shared" si="10"/>
        <v>0</v>
      </c>
      <c r="J150" s="42">
        <v>2.358777237953958E-2</v>
      </c>
      <c r="K150" s="42">
        <v>1.6947245694921991</v>
      </c>
      <c r="L150" s="44">
        <v>4.6543018944207502E-2</v>
      </c>
      <c r="M150" s="44">
        <v>0.33451316400465297</v>
      </c>
    </row>
    <row r="151" spans="1:13" ht="15.75" thickBot="1" x14ac:dyDescent="0.3">
      <c r="A151" s="14" t="s">
        <v>99</v>
      </c>
      <c r="B151" s="26">
        <v>13.1</v>
      </c>
      <c r="C151" s="26">
        <v>70.5</v>
      </c>
      <c r="D151" s="26">
        <v>16.399999999999999</v>
      </c>
      <c r="E151" s="26">
        <v>0</v>
      </c>
      <c r="F151">
        <f t="shared" si="11"/>
        <v>16.399999999999999</v>
      </c>
      <c r="G151" s="44">
        <f t="shared" si="8"/>
        <v>81.127733026467197</v>
      </c>
      <c r="H151" s="44">
        <f t="shared" si="9"/>
        <v>18.872266973532795</v>
      </c>
      <c r="I151" s="44">
        <f t="shared" si="10"/>
        <v>0</v>
      </c>
      <c r="J151" s="42">
        <v>2.6963226449366749E-2</v>
      </c>
      <c r="K151" s="42">
        <v>1.8744306505067387</v>
      </c>
      <c r="L151" s="44">
        <v>4.6191322142876301E-2</v>
      </c>
      <c r="M151" s="44">
        <v>0.33687043204721501</v>
      </c>
    </row>
    <row r="152" spans="1:13" ht="15.75" thickBot="1" x14ac:dyDescent="0.3">
      <c r="A152" s="14" t="s">
        <v>100</v>
      </c>
      <c r="B152" s="26">
        <v>26.5</v>
      </c>
      <c r="C152" s="26">
        <v>47</v>
      </c>
      <c r="D152" s="26">
        <v>26.5</v>
      </c>
      <c r="E152" s="26">
        <v>0</v>
      </c>
      <c r="F152">
        <f t="shared" si="11"/>
        <v>26.5</v>
      </c>
      <c r="G152" s="44">
        <f t="shared" si="8"/>
        <v>63.945578231292522</v>
      </c>
      <c r="H152" s="44">
        <f t="shared" si="9"/>
        <v>36.054421768707485</v>
      </c>
      <c r="I152" s="44">
        <f t="shared" si="10"/>
        <v>0</v>
      </c>
      <c r="J152" s="42">
        <v>1.7701284083845806E-2</v>
      </c>
      <c r="K152" s="42">
        <v>1.5484593111843912</v>
      </c>
      <c r="L152" s="44">
        <v>4.7129057360323898E-2</v>
      </c>
      <c r="M152" s="44">
        <v>0.33115306108918402</v>
      </c>
    </row>
    <row r="153" spans="1:13" ht="15.75" thickBot="1" x14ac:dyDescent="0.3">
      <c r="A153" s="14" t="s">
        <v>101</v>
      </c>
      <c r="B153" s="26">
        <v>25.5</v>
      </c>
      <c r="C153" s="26">
        <v>37.1</v>
      </c>
      <c r="D153" s="26">
        <v>33.200000000000003</v>
      </c>
      <c r="E153" s="26">
        <v>4.2</v>
      </c>
      <c r="F153">
        <f t="shared" si="11"/>
        <v>37.400000000000006</v>
      </c>
      <c r="G153" s="44">
        <f t="shared" si="8"/>
        <v>49.798657718120808</v>
      </c>
      <c r="H153" s="44">
        <f t="shared" si="9"/>
        <v>44.56375838926175</v>
      </c>
      <c r="I153" s="44">
        <f t="shared" si="10"/>
        <v>5.6375838926174495</v>
      </c>
      <c r="J153" s="42">
        <v>1.1445333985602706E-2</v>
      </c>
      <c r="K153" s="42">
        <v>1.455422549715732</v>
      </c>
      <c r="L153" s="44">
        <v>5.5531885949975199E-2</v>
      </c>
      <c r="M153" s="44">
        <v>0.336384287228432</v>
      </c>
    </row>
    <row r="154" spans="1:13" ht="15.75" thickBot="1" x14ac:dyDescent="0.3">
      <c r="A154" s="14" t="s">
        <v>102</v>
      </c>
      <c r="B154" s="26">
        <v>29.1</v>
      </c>
      <c r="C154" s="26">
        <v>54.8</v>
      </c>
      <c r="D154" s="26">
        <v>16.100000000000001</v>
      </c>
      <c r="E154" s="26">
        <v>0</v>
      </c>
      <c r="F154">
        <f t="shared" si="11"/>
        <v>16.100000000000001</v>
      </c>
      <c r="G154" s="44">
        <f t="shared" si="8"/>
        <v>77.291960507757395</v>
      </c>
      <c r="H154" s="44">
        <f t="shared" si="9"/>
        <v>22.708039492242595</v>
      </c>
      <c r="I154" s="44">
        <f t="shared" si="10"/>
        <v>0</v>
      </c>
      <c r="J154" s="42">
        <v>2.4688784732751226E-2</v>
      </c>
      <c r="K154" s="42">
        <v>1.7427607349983478</v>
      </c>
      <c r="L154" s="44">
        <v>4.6426855682396601E-2</v>
      </c>
      <c r="M154" s="44">
        <v>0.33527675713659699</v>
      </c>
    </row>
    <row r="155" spans="1:13" ht="15.75" thickBot="1" x14ac:dyDescent="0.3">
      <c r="A155" s="14" t="s">
        <v>103</v>
      </c>
      <c r="B155" s="26">
        <v>42.9</v>
      </c>
      <c r="C155" s="26">
        <v>42.6</v>
      </c>
      <c r="D155" s="26">
        <v>14.5</v>
      </c>
      <c r="E155" s="26">
        <v>0</v>
      </c>
      <c r="F155">
        <f t="shared" si="11"/>
        <v>14.5</v>
      </c>
      <c r="G155" s="44">
        <f t="shared" si="8"/>
        <v>74.605954465849393</v>
      </c>
      <c r="H155" s="44">
        <f t="shared" si="9"/>
        <v>25.39404553415061</v>
      </c>
      <c r="I155" s="44">
        <f t="shared" si="10"/>
        <v>0</v>
      </c>
      <c r="J155" s="42">
        <v>2.3175920195788183E-2</v>
      </c>
      <c r="K155" s="42">
        <v>1.6788897750518925</v>
      </c>
      <c r="L155" s="44">
        <v>4.6586234811755702E-2</v>
      </c>
      <c r="M155" s="44">
        <v>0.33423301027174102</v>
      </c>
    </row>
    <row r="156" spans="1:13" ht="15.75" thickBot="1" x14ac:dyDescent="0.3">
      <c r="A156" s="14" t="s">
        <v>104</v>
      </c>
      <c r="B156" s="26">
        <v>42</v>
      </c>
      <c r="C156" s="26">
        <v>51.7</v>
      </c>
      <c r="D156" s="26">
        <v>6.3</v>
      </c>
      <c r="E156" s="26">
        <v>0</v>
      </c>
      <c r="F156">
        <f t="shared" si="11"/>
        <v>6.3</v>
      </c>
      <c r="G156" s="44">
        <f t="shared" si="8"/>
        <v>89.137931034482762</v>
      </c>
      <c r="H156" s="44">
        <f t="shared" si="9"/>
        <v>10.86206896551724</v>
      </c>
      <c r="I156" s="44">
        <f t="shared" si="10"/>
        <v>0</v>
      </c>
      <c r="J156" s="42">
        <v>3.210850932389412E-2</v>
      </c>
      <c r="K156" s="42">
        <v>2.4357265279821037</v>
      </c>
      <c r="L156" s="44">
        <v>4.5754295145420898E-2</v>
      </c>
      <c r="M156" s="44">
        <v>0.34015419676167402</v>
      </c>
    </row>
    <row r="157" spans="1:13" ht="15.75" thickBot="1" x14ac:dyDescent="0.3">
      <c r="A157" s="14" t="s">
        <v>105</v>
      </c>
      <c r="B157" s="26">
        <v>43.1</v>
      </c>
      <c r="C157" s="26">
        <v>51.9</v>
      </c>
      <c r="D157" s="26">
        <v>5</v>
      </c>
      <c r="E157" s="26">
        <v>0</v>
      </c>
      <c r="F157">
        <f t="shared" si="11"/>
        <v>5</v>
      </c>
      <c r="G157" s="44">
        <f t="shared" si="8"/>
        <v>91.212653778558874</v>
      </c>
      <c r="H157" s="44">
        <f t="shared" si="9"/>
        <v>8.7873462214411244</v>
      </c>
      <c r="I157" s="44">
        <f t="shared" si="10"/>
        <v>0</v>
      </c>
      <c r="J157" s="42">
        <v>3.3478145253996533E-2</v>
      </c>
      <c r="K157" s="42">
        <v>2.6797677146241199</v>
      </c>
      <c r="L157" s="44">
        <v>4.5655343313305001E-2</v>
      </c>
      <c r="M157" s="44">
        <v>0.340982791738839</v>
      </c>
    </row>
    <row r="158" spans="1:13" ht="15.75" thickBot="1" x14ac:dyDescent="0.3">
      <c r="A158" s="14" t="s">
        <v>106</v>
      </c>
      <c r="B158" s="26">
        <v>44</v>
      </c>
      <c r="C158" s="26">
        <v>50.1</v>
      </c>
      <c r="D158" s="26">
        <v>5.9</v>
      </c>
      <c r="E158" s="26">
        <v>0</v>
      </c>
      <c r="F158">
        <f t="shared" si="11"/>
        <v>5.9</v>
      </c>
      <c r="G158" s="44">
        <f t="shared" si="8"/>
        <v>89.464285714285722</v>
      </c>
      <c r="H158" s="44">
        <f t="shared" si="9"/>
        <v>10.535714285714286</v>
      </c>
      <c r="I158" s="44">
        <f t="shared" si="10"/>
        <v>0</v>
      </c>
      <c r="J158" s="42">
        <v>3.2320795177819245E-2</v>
      </c>
      <c r="K158" s="42">
        <v>2.4702548718203263</v>
      </c>
      <c r="L158" s="44">
        <v>4.57388899578796E-2</v>
      </c>
      <c r="M158" s="44">
        <v>0.340281742712226</v>
      </c>
    </row>
    <row r="159" spans="1:13" ht="15.75" thickBot="1" x14ac:dyDescent="0.3">
      <c r="A159" s="14" t="s">
        <v>107</v>
      </c>
      <c r="B159" s="26">
        <v>47.4</v>
      </c>
      <c r="C159" s="26">
        <v>48.1</v>
      </c>
      <c r="D159" s="26">
        <v>4.5</v>
      </c>
      <c r="E159" s="26">
        <v>0</v>
      </c>
      <c r="F159">
        <f t="shared" si="11"/>
        <v>4.5</v>
      </c>
      <c r="G159" s="44">
        <f t="shared" si="8"/>
        <v>91.444866920152094</v>
      </c>
      <c r="H159" s="44">
        <f t="shared" si="9"/>
        <v>8.5551330798479075</v>
      </c>
      <c r="I159" s="44">
        <f t="shared" si="10"/>
        <v>0</v>
      </c>
      <c r="J159" s="42">
        <v>3.3629580031569017E-2</v>
      </c>
      <c r="K159" s="42">
        <v>2.7100412236316345</v>
      </c>
      <c r="L159" s="44">
        <v>4.5644366748551997E-2</v>
      </c>
      <c r="M159" s="44">
        <v>0.34107558508288299</v>
      </c>
    </row>
    <row r="160" spans="1:13" ht="15.75" thickBot="1" x14ac:dyDescent="0.3">
      <c r="A160" s="14" t="s">
        <v>108</v>
      </c>
      <c r="B160" s="26">
        <v>48.1</v>
      </c>
      <c r="C160" s="26">
        <v>48.3</v>
      </c>
      <c r="D160" s="26">
        <v>3.6</v>
      </c>
      <c r="E160" s="26">
        <v>0</v>
      </c>
      <c r="F160">
        <f t="shared" si="11"/>
        <v>3.6</v>
      </c>
      <c r="G160" s="44">
        <f t="shared" si="8"/>
        <v>93.063583815028892</v>
      </c>
      <c r="H160" s="44">
        <f t="shared" si="9"/>
        <v>6.9364161849710992</v>
      </c>
      <c r="I160" s="44">
        <f t="shared" si="10"/>
        <v>0</v>
      </c>
      <c r="J160" s="42">
        <v>3.4691783381640515E-2</v>
      </c>
      <c r="K160" s="42">
        <v>2.9431237528047265</v>
      </c>
      <c r="L160" s="44">
        <v>4.5566469778602098E-2</v>
      </c>
      <c r="M160" s="44">
        <v>0.341734810253286</v>
      </c>
    </row>
    <row r="161" spans="9:13" x14ac:dyDescent="0.25">
      <c r="I161" t="s">
        <v>211</v>
      </c>
      <c r="J161" s="42">
        <f>AVERAGE(J6:J160)</f>
        <v>1.9747872448473411E-2</v>
      </c>
      <c r="K161" s="42">
        <f>AVERAGE(K6:K160)</f>
        <v>1.7288495293485733</v>
      </c>
      <c r="L161" s="44">
        <f t="shared" ref="L161:M161" si="12">AVERAGE(L6:L160)</f>
        <v>5.1482596506994757E-2</v>
      </c>
      <c r="M161" s="44">
        <f t="shared" si="12"/>
        <v>0.33736822449111642</v>
      </c>
    </row>
    <row r="162" spans="9:13" x14ac:dyDescent="0.25">
      <c r="I162" t="s">
        <v>214</v>
      </c>
      <c r="J162" s="42">
        <f>_xlfn.STDEV.P(J6:J160)</f>
        <v>7.8584652310504811E-3</v>
      </c>
      <c r="K162" s="42">
        <f t="shared" ref="K162" si="13">_xlfn.STDEV.P(K6:K160)</f>
        <v>0.42162428765624027</v>
      </c>
      <c r="L162" s="42">
        <f t="shared" ref="L162:M162" si="14">_xlfn.STDEV.P(L6:L160)</f>
        <v>7.3769559160267312E-3</v>
      </c>
      <c r="M162" s="42">
        <f t="shared" si="14"/>
        <v>4.7354071831342088E-3</v>
      </c>
    </row>
    <row r="163" spans="9:13" x14ac:dyDescent="0.25">
      <c r="I163" t="s">
        <v>212</v>
      </c>
      <c r="J163" s="42">
        <f>MAX(J6:J160)</f>
        <v>3.6739754469405625E-2</v>
      </c>
      <c r="K163" s="42">
        <f t="shared" ref="K163:M163" si="15">MAX(K6:K160)</f>
        <v>3.5096562911382088</v>
      </c>
      <c r="L163" s="42">
        <f t="shared" si="15"/>
        <v>7.5509876893695704E-2</v>
      </c>
      <c r="M163" s="42">
        <f t="shared" si="15"/>
        <v>0.35206250152282498</v>
      </c>
    </row>
    <row r="164" spans="9:13" x14ac:dyDescent="0.25">
      <c r="I164" t="s">
        <v>254</v>
      </c>
      <c r="J164" s="42">
        <f>MIN(J6:J160)</f>
        <v>6.2847355761956715E-3</v>
      </c>
      <c r="K164" s="42">
        <f t="shared" ref="K164:M164" si="16">MIN(K6:K160)</f>
        <v>1.3868952653835092</v>
      </c>
      <c r="L164" s="42">
        <f t="shared" si="16"/>
        <v>4.5419741123518299E-2</v>
      </c>
      <c r="M164" s="42">
        <f t="shared" si="16"/>
        <v>0.330162185247655</v>
      </c>
    </row>
    <row r="165" spans="9:13" x14ac:dyDescent="0.25">
      <c r="I165" t="s">
        <v>258</v>
      </c>
      <c r="J165" s="42">
        <f>MEDIAN(J6:J160)</f>
        <v>1.8524385723769375E-2</v>
      </c>
      <c r="K165" s="42">
        <f t="shared" ref="K165:M165" si="17">MEDIAN(K6:K160)</f>
        <v>1.5561739286896368</v>
      </c>
      <c r="L165" s="42">
        <f t="shared" si="17"/>
        <v>4.7111442186547503E-2</v>
      </c>
      <c r="M165" s="42">
        <f t="shared" si="17"/>
        <v>0.33704758080608599</v>
      </c>
    </row>
    <row r="166" spans="9:13" x14ac:dyDescent="0.25">
      <c r="I166" t="s">
        <v>259</v>
      </c>
      <c r="J166" s="42">
        <f>J162/J161</f>
        <v>0.39793984144646283</v>
      </c>
      <c r="K166" s="42">
        <f t="shared" ref="K166:M166" si="18">K162/K161</f>
        <v>0.24387564128562847</v>
      </c>
      <c r="L166" s="42">
        <f t="shared" si="18"/>
        <v>0.14329028480574887</v>
      </c>
      <c r="M166" s="42">
        <f t="shared" si="18"/>
        <v>1.4036316521145582E-2</v>
      </c>
    </row>
  </sheetData>
  <mergeCells count="33">
    <mergeCell ref="A141:A143"/>
    <mergeCell ref="A145:A147"/>
    <mergeCell ref="A148:A149"/>
    <mergeCell ref="A111:A113"/>
    <mergeCell ref="A115:A117"/>
    <mergeCell ref="A118:A119"/>
    <mergeCell ref="A120:A121"/>
    <mergeCell ref="A124:A126"/>
    <mergeCell ref="A138:A140"/>
    <mergeCell ref="A91:A92"/>
    <mergeCell ref="A49:A50"/>
    <mergeCell ref="A51:A52"/>
    <mergeCell ref="A54:A55"/>
    <mergeCell ref="A57:A58"/>
    <mergeCell ref="A59:A61"/>
    <mergeCell ref="A65:A67"/>
    <mergeCell ref="A70:A71"/>
    <mergeCell ref="A73:A74"/>
    <mergeCell ref="A75:A76"/>
    <mergeCell ref="A77:A79"/>
    <mergeCell ref="A89:A90"/>
    <mergeCell ref="A47:A48"/>
    <mergeCell ref="A6:A7"/>
    <mergeCell ref="A8:A11"/>
    <mergeCell ref="A14:A15"/>
    <mergeCell ref="A20:A24"/>
    <mergeCell ref="A25:A26"/>
    <mergeCell ref="A27:A28"/>
    <mergeCell ref="A34:A35"/>
    <mergeCell ref="A36:A37"/>
    <mergeCell ref="A38:A39"/>
    <mergeCell ref="A40:A42"/>
    <mergeCell ref="A44:A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F453-78DD-4A63-A283-3966C8382D41}">
  <dimension ref="A1:M164"/>
  <sheetViews>
    <sheetView topLeftCell="F132" workbookViewId="0">
      <selection activeCell="J160" sqref="J160:J164"/>
    </sheetView>
  </sheetViews>
  <sheetFormatPr defaultRowHeight="15" x14ac:dyDescent="0.25"/>
  <cols>
    <col min="4" max="4" width="20.5703125" bestFit="1" customWidth="1"/>
    <col min="5" max="6" width="9.28515625" bestFit="1" customWidth="1"/>
    <col min="7" max="7" width="18.85546875" bestFit="1" customWidth="1"/>
    <col min="8" max="8" width="12.140625" bestFit="1" customWidth="1"/>
    <col min="9" max="9" width="17.85546875" bestFit="1" customWidth="1"/>
    <col min="10" max="11" width="9.28515625" bestFit="1" customWidth="1"/>
    <col min="12" max="12" width="9.5703125" bestFit="1" customWidth="1"/>
    <col min="13" max="13" width="9.28515625" bestFit="1" customWidth="1"/>
  </cols>
  <sheetData>
    <row r="1" spans="1:13" x14ac:dyDescent="0.25">
      <c r="A1" t="s">
        <v>240</v>
      </c>
    </row>
    <row r="2" spans="1:13" x14ac:dyDescent="0.25">
      <c r="A2" t="s">
        <v>241</v>
      </c>
      <c r="B2" t="s">
        <v>242</v>
      </c>
      <c r="C2" t="s">
        <v>243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250</v>
      </c>
      <c r="K2" t="s">
        <v>251</v>
      </c>
      <c r="L2" t="s">
        <v>252</v>
      </c>
      <c r="M2" t="s">
        <v>253</v>
      </c>
    </row>
    <row r="3" spans="1:13" x14ac:dyDescent="0.25">
      <c r="A3" s="62">
        <v>65.290000000000006</v>
      </c>
      <c r="B3" s="62">
        <v>31.3</v>
      </c>
      <c r="C3" s="62">
        <v>3.41</v>
      </c>
      <c r="D3" s="62">
        <v>1.62</v>
      </c>
      <c r="E3" s="64">
        <v>5.1769200159143498E-2</v>
      </c>
      <c r="F3" s="64">
        <v>0.33631158348840101</v>
      </c>
      <c r="G3" s="64">
        <v>-1.7484049153690999</v>
      </c>
      <c r="H3" s="64">
        <v>0.17989738375752101</v>
      </c>
      <c r="I3" s="64">
        <v>1.58234590872615</v>
      </c>
      <c r="J3" s="74">
        <f>10^G3</f>
        <v>1.7848227156609293E-2</v>
      </c>
      <c r="K3" s="74">
        <f>10^H3</f>
        <v>1.5132036624507541</v>
      </c>
      <c r="L3" s="64">
        <f>10^I3</f>
        <v>38.224860462867021</v>
      </c>
      <c r="M3" s="66">
        <f>L3/(24*60*60)</f>
        <v>4.4241736646836831E-4</v>
      </c>
    </row>
    <row r="4" spans="1:13" x14ac:dyDescent="0.25">
      <c r="A4">
        <v>43.54</v>
      </c>
      <c r="B4">
        <v>42.74</v>
      </c>
      <c r="C4">
        <v>13.71</v>
      </c>
      <c r="D4">
        <v>1.62</v>
      </c>
      <c r="E4" s="44">
        <v>6.9659601086946799E-2</v>
      </c>
      <c r="F4" s="44">
        <v>0.34595346554552597</v>
      </c>
      <c r="G4" s="44">
        <v>-2.0282893479661599</v>
      </c>
      <c r="H4" s="44">
        <v>0.14404514773794899</v>
      </c>
      <c r="I4" s="44">
        <v>1.0124122647090401</v>
      </c>
      <c r="J4" s="75">
        <f t="shared" ref="J4:J67" si="0">10^G4</f>
        <v>9.3693756585940223E-3</v>
      </c>
      <c r="K4" s="75">
        <f t="shared" ref="K4:K67" si="1">10^H4</f>
        <v>1.3933016381903212</v>
      </c>
      <c r="L4" s="44">
        <f t="shared" ref="L4:L67" si="2">10^I4</f>
        <v>10.289926311900894</v>
      </c>
      <c r="M4" s="65">
        <f t="shared" ref="M4:M67" si="3">L4/(24*60*60)</f>
        <v>1.1909636935070479E-4</v>
      </c>
    </row>
    <row r="5" spans="1:13" x14ac:dyDescent="0.25">
      <c r="A5">
        <v>68.97</v>
      </c>
      <c r="B5">
        <v>25.54</v>
      </c>
      <c r="C5">
        <v>5.49</v>
      </c>
      <c r="D5">
        <v>1.62</v>
      </c>
      <c r="E5" s="44">
        <v>5.4796984691102502E-2</v>
      </c>
      <c r="F5" s="44">
        <v>0.34085148726846898</v>
      </c>
      <c r="G5" s="44">
        <v>-1.7175393777944099</v>
      </c>
      <c r="H5" s="44">
        <v>0.1811668059431</v>
      </c>
      <c r="I5" s="44">
        <v>1.5906370393548299</v>
      </c>
      <c r="J5" s="75">
        <f t="shared" si="0"/>
        <v>1.9162873037039174E-2</v>
      </c>
      <c r="K5" s="75">
        <f t="shared" si="1"/>
        <v>1.5176331554775175</v>
      </c>
      <c r="L5" s="44">
        <f t="shared" si="2"/>
        <v>38.961622967469879</v>
      </c>
      <c r="M5" s="65">
        <f t="shared" si="3"/>
        <v>4.5094471027164212E-4</v>
      </c>
    </row>
    <row r="6" spans="1:13" x14ac:dyDescent="0.25">
      <c r="A6">
        <v>84.26</v>
      </c>
      <c r="B6">
        <v>15.74</v>
      </c>
      <c r="C6">
        <v>0</v>
      </c>
      <c r="D6">
        <v>1.62</v>
      </c>
      <c r="E6" s="44">
        <v>4.6006793021061899E-2</v>
      </c>
      <c r="F6" s="44">
        <v>0.33818312273747198</v>
      </c>
      <c r="G6" s="44">
        <v>-1.5388790440756199</v>
      </c>
      <c r="H6" s="44">
        <v>0.30846068829420598</v>
      </c>
      <c r="I6" s="44">
        <v>2.2577227074291</v>
      </c>
      <c r="J6" s="75">
        <f t="shared" si="0"/>
        <v>2.8914850815249703E-2</v>
      </c>
      <c r="K6" s="75">
        <f t="shared" si="1"/>
        <v>2.0345140262602333</v>
      </c>
      <c r="L6" s="44">
        <f t="shared" si="2"/>
        <v>181.01839396897086</v>
      </c>
      <c r="M6" s="65">
        <f t="shared" si="3"/>
        <v>2.0951203005667922E-3</v>
      </c>
    </row>
    <row r="7" spans="1:13" x14ac:dyDescent="0.25">
      <c r="A7">
        <v>58.3</v>
      </c>
      <c r="B7">
        <v>32.97</v>
      </c>
      <c r="C7">
        <v>8.73</v>
      </c>
      <c r="D7">
        <v>1.62</v>
      </c>
      <c r="E7" s="44">
        <v>6.0304008807633099E-2</v>
      </c>
      <c r="F7" s="44">
        <v>0.34225366262809098</v>
      </c>
      <c r="G7" s="44">
        <v>-1.8412473323074501</v>
      </c>
      <c r="H7" s="44">
        <v>0.155484400354724</v>
      </c>
      <c r="I7" s="44">
        <v>1.31922760886984</v>
      </c>
      <c r="J7" s="75">
        <f t="shared" si="0"/>
        <v>1.4412942953386578E-2</v>
      </c>
      <c r="K7" s="75">
        <f t="shared" si="1"/>
        <v>1.4304885974468013</v>
      </c>
      <c r="L7" s="44">
        <f t="shared" si="2"/>
        <v>20.855836277260867</v>
      </c>
      <c r="M7" s="65">
        <f t="shared" si="3"/>
        <v>2.4138699394977856E-4</v>
      </c>
    </row>
    <row r="8" spans="1:13" x14ac:dyDescent="0.25">
      <c r="A8">
        <v>72.760000000000005</v>
      </c>
      <c r="B8">
        <v>27.24</v>
      </c>
      <c r="C8">
        <v>0</v>
      </c>
      <c r="D8">
        <v>1.62</v>
      </c>
      <c r="E8" s="44">
        <v>4.6691123951555003E-2</v>
      </c>
      <c r="F8" s="44">
        <v>0.33356435231340298</v>
      </c>
      <c r="G8" s="44">
        <v>-1.65432686263678</v>
      </c>
      <c r="H8" s="44">
        <v>0.215996413008923</v>
      </c>
      <c r="I8" s="44">
        <v>1.8441497971665</v>
      </c>
      <c r="J8" s="75">
        <f t="shared" si="0"/>
        <v>2.2165275688611642E-2</v>
      </c>
      <c r="K8" s="75">
        <f t="shared" si="1"/>
        <v>1.6443581418258375</v>
      </c>
      <c r="L8" s="44">
        <f t="shared" si="2"/>
        <v>69.847328044173409</v>
      </c>
      <c r="M8" s="65">
        <f t="shared" si="3"/>
        <v>8.0841814865941441E-4</v>
      </c>
    </row>
    <row r="9" spans="1:13" x14ac:dyDescent="0.25">
      <c r="A9">
        <v>62.65</v>
      </c>
      <c r="B9">
        <v>28.8</v>
      </c>
      <c r="C9">
        <v>8.5500000000000007</v>
      </c>
      <c r="D9">
        <v>1.62</v>
      </c>
      <c r="E9" s="44">
        <v>5.9928034807276098E-2</v>
      </c>
      <c r="F9" s="44">
        <v>0.34340156796185201</v>
      </c>
      <c r="G9" s="44">
        <v>-1.7935267760457501</v>
      </c>
      <c r="H9" s="44">
        <v>0.15990140774061601</v>
      </c>
      <c r="I9" s="44">
        <v>1.3878393626211101</v>
      </c>
      <c r="J9" s="75">
        <f t="shared" si="0"/>
        <v>1.6086931922620062E-2</v>
      </c>
      <c r="K9" s="75">
        <f t="shared" si="1"/>
        <v>1.4451116684928349</v>
      </c>
      <c r="L9" s="44">
        <f t="shared" si="2"/>
        <v>24.425269407107848</v>
      </c>
      <c r="M9" s="65">
        <f t="shared" si="3"/>
        <v>2.8269987739708156E-4</v>
      </c>
    </row>
    <row r="10" spans="1:13" x14ac:dyDescent="0.25">
      <c r="A10">
        <v>87.06</v>
      </c>
      <c r="B10">
        <v>12.94</v>
      </c>
      <c r="C10">
        <v>0</v>
      </c>
      <c r="D10">
        <v>1.62</v>
      </c>
      <c r="E10" s="44">
        <v>4.5856977942850097E-2</v>
      </c>
      <c r="F10" s="44">
        <v>0.33932392295681701</v>
      </c>
      <c r="G10" s="44">
        <v>-1.5124136772704</v>
      </c>
      <c r="H10" s="44">
        <v>0.34977098236259702</v>
      </c>
      <c r="I10" s="44">
        <v>2.4009368630723902</v>
      </c>
      <c r="J10" s="75">
        <f t="shared" si="0"/>
        <v>3.0731681441533223E-2</v>
      </c>
      <c r="K10" s="75">
        <f t="shared" si="1"/>
        <v>2.2375408991510364</v>
      </c>
      <c r="L10" s="44">
        <f t="shared" si="2"/>
        <v>251.73109391530193</v>
      </c>
      <c r="M10" s="65">
        <f t="shared" si="3"/>
        <v>2.9135543277234019E-3</v>
      </c>
    </row>
    <row r="11" spans="1:13" x14ac:dyDescent="0.25">
      <c r="A11">
        <v>84.23</v>
      </c>
      <c r="B11">
        <v>15.77</v>
      </c>
      <c r="C11">
        <v>0</v>
      </c>
      <c r="D11">
        <v>1.62</v>
      </c>
      <c r="E11" s="44">
        <v>4.60084845628492E-2</v>
      </c>
      <c r="F11" s="44">
        <v>0.33817069448554099</v>
      </c>
      <c r="G11" s="44">
        <v>-1.5391663835848199</v>
      </c>
      <c r="H11" s="44">
        <v>0.30806920992860298</v>
      </c>
      <c r="I11" s="44">
        <v>2.2562775160837201</v>
      </c>
      <c r="J11" s="75">
        <f t="shared" si="0"/>
        <v>2.8895726392803928E-2</v>
      </c>
      <c r="K11" s="75">
        <f t="shared" si="1"/>
        <v>2.032680916714293</v>
      </c>
      <c r="L11" s="44">
        <f t="shared" si="2"/>
        <v>180.41702453131322</v>
      </c>
      <c r="M11" s="65">
        <f t="shared" si="3"/>
        <v>2.0881600061494585E-3</v>
      </c>
    </row>
    <row r="12" spans="1:13" x14ac:dyDescent="0.25">
      <c r="A12">
        <v>64.209999999999994</v>
      </c>
      <c r="B12">
        <v>35.79</v>
      </c>
      <c r="C12">
        <v>0</v>
      </c>
      <c r="D12">
        <v>1.62</v>
      </c>
      <c r="E12" s="44">
        <v>4.7117326948591998E-2</v>
      </c>
      <c r="F12" s="44">
        <v>0.33120399002191903</v>
      </c>
      <c r="G12" s="44">
        <v>-1.74896731810255</v>
      </c>
      <c r="H12" s="44">
        <v>0.19036640560558399</v>
      </c>
      <c r="I12" s="44">
        <v>1.67790237254824</v>
      </c>
      <c r="J12" s="75">
        <f t="shared" si="0"/>
        <v>1.7825129015768271E-2</v>
      </c>
      <c r="K12" s="75">
        <f t="shared" si="1"/>
        <v>1.5501238760256604</v>
      </c>
      <c r="L12" s="44">
        <f t="shared" si="2"/>
        <v>47.632389929317945</v>
      </c>
      <c r="M12" s="65">
        <f t="shared" si="3"/>
        <v>5.513008093671059E-4</v>
      </c>
    </row>
    <row r="13" spans="1:13" x14ac:dyDescent="0.25">
      <c r="A13">
        <v>67.37</v>
      </c>
      <c r="B13">
        <v>32.630000000000003</v>
      </c>
      <c r="C13">
        <v>0</v>
      </c>
      <c r="D13">
        <v>1.62</v>
      </c>
      <c r="E13" s="44">
        <v>4.6969901814730403E-2</v>
      </c>
      <c r="F13" s="44">
        <v>0.33192424150086403</v>
      </c>
      <c r="G13" s="44">
        <v>-1.71291621130672</v>
      </c>
      <c r="H13" s="44">
        <v>0.19731603570607301</v>
      </c>
      <c r="I13" s="44">
        <v>1.72896867009022</v>
      </c>
      <c r="J13" s="75">
        <f t="shared" si="0"/>
        <v>1.9367955950317019E-2</v>
      </c>
      <c r="K13" s="75">
        <f t="shared" si="1"/>
        <v>1.5751286672382752</v>
      </c>
      <c r="L13" s="44">
        <f t="shared" si="2"/>
        <v>53.57580066527656</v>
      </c>
      <c r="M13" s="65">
        <f t="shared" si="3"/>
        <v>6.2009028547773792E-4</v>
      </c>
    </row>
    <row r="14" spans="1:13" x14ac:dyDescent="0.25">
      <c r="A14">
        <v>63.73</v>
      </c>
      <c r="B14">
        <v>36.270000000000003</v>
      </c>
      <c r="C14">
        <v>0</v>
      </c>
      <c r="D14">
        <v>1.62</v>
      </c>
      <c r="E14" s="44">
        <v>4.7138943893359798E-2</v>
      </c>
      <c r="F14" s="44">
        <v>0.33111096164999998</v>
      </c>
      <c r="G14" s="44">
        <v>-1.75456493951228</v>
      </c>
      <c r="H14" s="44">
        <v>0.18951645608751899</v>
      </c>
      <c r="I14" s="44">
        <v>1.6710377382236199</v>
      </c>
      <c r="J14" s="75">
        <f t="shared" si="0"/>
        <v>1.759685520546796E-2</v>
      </c>
      <c r="K14" s="75">
        <f t="shared" si="1"/>
        <v>1.5470931245811146</v>
      </c>
      <c r="L14" s="44">
        <f t="shared" si="2"/>
        <v>46.885412167499993</v>
      </c>
      <c r="M14" s="65">
        <f t="shared" si="3"/>
        <v>5.4265523342013876E-4</v>
      </c>
    </row>
    <row r="15" spans="1:13" x14ac:dyDescent="0.25">
      <c r="A15">
        <v>78.489999999999995</v>
      </c>
      <c r="B15">
        <v>21.51</v>
      </c>
      <c r="C15">
        <v>0</v>
      </c>
      <c r="D15">
        <v>1.62</v>
      </c>
      <c r="E15" s="44">
        <v>4.6353488849706699E-2</v>
      </c>
      <c r="F15" s="44">
        <v>0.33576625046852798</v>
      </c>
      <c r="G15" s="44">
        <v>-1.5954109692341301</v>
      </c>
      <c r="H15" s="44">
        <v>0.24993055351923801</v>
      </c>
      <c r="I15" s="44">
        <v>2.0167841705307001</v>
      </c>
      <c r="J15" s="75">
        <f t="shared" si="0"/>
        <v>2.5385693416613394E-2</v>
      </c>
      <c r="K15" s="75">
        <f t="shared" si="1"/>
        <v>1.7779950744586464</v>
      </c>
      <c r="L15" s="44">
        <f t="shared" si="2"/>
        <v>103.94034895523536</v>
      </c>
      <c r="M15" s="65">
        <f t="shared" si="3"/>
        <v>1.2030132980930018E-3</v>
      </c>
    </row>
    <row r="16" spans="1:13" x14ac:dyDescent="0.25">
      <c r="A16">
        <v>92.45</v>
      </c>
      <c r="B16">
        <v>7.55</v>
      </c>
      <c r="C16">
        <v>0</v>
      </c>
      <c r="D16">
        <v>1.62</v>
      </c>
      <c r="E16" s="44">
        <v>4.5595930749718398E-2</v>
      </c>
      <c r="F16" s="44">
        <v>0.341485354372636</v>
      </c>
      <c r="G16" s="44">
        <v>-1.46479941826408</v>
      </c>
      <c r="H16" s="44">
        <v>0.45501577131089499</v>
      </c>
      <c r="I16" s="44">
        <v>2.7085414531315499</v>
      </c>
      <c r="J16" s="75">
        <f t="shared" si="0"/>
        <v>3.4292613264559214E-2</v>
      </c>
      <c r="K16" s="75">
        <f t="shared" si="1"/>
        <v>2.8511218035002943</v>
      </c>
      <c r="L16" s="44">
        <f t="shared" si="2"/>
        <v>511.14186487435023</v>
      </c>
      <c r="M16" s="65">
        <f t="shared" si="3"/>
        <v>5.9159938064160906E-3</v>
      </c>
    </row>
    <row r="17" spans="1:13" x14ac:dyDescent="0.25">
      <c r="A17">
        <v>59.35</v>
      </c>
      <c r="B17">
        <v>32.93</v>
      </c>
      <c r="C17">
        <v>7.72</v>
      </c>
      <c r="D17">
        <v>1.62</v>
      </c>
      <c r="E17" s="44">
        <v>5.86023314387598E-2</v>
      </c>
      <c r="F17" s="44">
        <v>0.34103657358725198</v>
      </c>
      <c r="G17" s="44">
        <v>-1.8270464721802</v>
      </c>
      <c r="H17" s="44">
        <v>0.15899369209740499</v>
      </c>
      <c r="I17" s="44">
        <v>1.3629111610729701</v>
      </c>
      <c r="J17" s="75">
        <f t="shared" si="0"/>
        <v>1.4892017154434943E-2</v>
      </c>
      <c r="K17" s="75">
        <f t="shared" si="1"/>
        <v>1.4420944056978207</v>
      </c>
      <c r="L17" s="44">
        <f t="shared" si="2"/>
        <v>23.062753706447936</v>
      </c>
      <c r="M17" s="65">
        <f t="shared" si="3"/>
        <v>2.6693001975055478E-4</v>
      </c>
    </row>
    <row r="18" spans="1:13" x14ac:dyDescent="0.25">
      <c r="A18">
        <v>67.2</v>
      </c>
      <c r="B18">
        <v>32.799999999999997</v>
      </c>
      <c r="C18">
        <v>0</v>
      </c>
      <c r="D18">
        <v>1.62</v>
      </c>
      <c r="E18" s="44">
        <v>4.6978092983545799E-2</v>
      </c>
      <c r="F18" s="44">
        <v>0.33188077342947397</v>
      </c>
      <c r="G18" s="44">
        <v>-1.71482166548795</v>
      </c>
      <c r="H18" s="44">
        <v>0.19687725965496899</v>
      </c>
      <c r="I18" s="44">
        <v>1.72594359158929</v>
      </c>
      <c r="J18" s="75">
        <f t="shared" si="0"/>
        <v>1.9283165760251558E-2</v>
      </c>
      <c r="K18" s="75">
        <f t="shared" si="1"/>
        <v>1.5735380881436525</v>
      </c>
      <c r="L18" s="44">
        <f t="shared" si="2"/>
        <v>53.203915078559206</v>
      </c>
      <c r="M18" s="65">
        <f t="shared" si="3"/>
        <v>6.1578605414999081E-4</v>
      </c>
    </row>
    <row r="19" spans="1:13" x14ac:dyDescent="0.25">
      <c r="A19">
        <v>36.369999999999997</v>
      </c>
      <c r="B19">
        <v>47.08</v>
      </c>
      <c r="C19">
        <v>16.54</v>
      </c>
      <c r="D19">
        <v>1.62</v>
      </c>
      <c r="E19" s="44">
        <v>7.5509876893695704E-2</v>
      </c>
      <c r="F19" s="44">
        <v>0.34997941591283799</v>
      </c>
      <c r="G19" s="44">
        <v>-2.1140738385611302</v>
      </c>
      <c r="H19" s="44">
        <v>0.14204366555530301</v>
      </c>
      <c r="I19" s="44">
        <v>0.88400374424558403</v>
      </c>
      <c r="J19" s="75">
        <f t="shared" si="0"/>
        <v>7.6899968417562924E-3</v>
      </c>
      <c r="K19" s="75">
        <f t="shared" si="1"/>
        <v>1.3868952653835092</v>
      </c>
      <c r="L19" s="44">
        <f t="shared" si="2"/>
        <v>7.6560320748803345</v>
      </c>
      <c r="M19" s="65">
        <f t="shared" si="3"/>
        <v>8.8611482348152016E-5</v>
      </c>
    </row>
    <row r="20" spans="1:13" x14ac:dyDescent="0.25">
      <c r="A20">
        <v>43.15</v>
      </c>
      <c r="B20">
        <v>43.8</v>
      </c>
      <c r="C20">
        <v>13.04</v>
      </c>
      <c r="D20">
        <v>1.62</v>
      </c>
      <c r="E20" s="44">
        <v>6.8409299829083003E-2</v>
      </c>
      <c r="F20" s="44">
        <v>0.34509149876492601</v>
      </c>
      <c r="G20" s="44">
        <v>-2.0332855560168301</v>
      </c>
      <c r="H20" s="44">
        <v>0.1459410104751</v>
      </c>
      <c r="I20" s="44">
        <v>1.0304495213781599</v>
      </c>
      <c r="J20" s="75">
        <f t="shared" si="0"/>
        <v>9.2622061729245499E-3</v>
      </c>
      <c r="K20" s="75">
        <f t="shared" si="1"/>
        <v>1.3993972317751413</v>
      </c>
      <c r="L20" s="44">
        <f t="shared" si="2"/>
        <v>10.726289675067061</v>
      </c>
      <c r="M20" s="65">
        <f t="shared" si="3"/>
        <v>1.2414687123920209E-4</v>
      </c>
    </row>
    <row r="21" spans="1:13" x14ac:dyDescent="0.25">
      <c r="A21">
        <v>61.02</v>
      </c>
      <c r="B21">
        <v>33.299999999999997</v>
      </c>
      <c r="C21">
        <v>5.68</v>
      </c>
      <c r="D21">
        <v>1.62</v>
      </c>
      <c r="E21" s="44">
        <v>5.5305231847330903E-2</v>
      </c>
      <c r="F21" s="44">
        <v>0.33846364684081398</v>
      </c>
      <c r="G21" s="44">
        <v>-1.8029235021096699</v>
      </c>
      <c r="H21" s="44">
        <v>0.166437204572325</v>
      </c>
      <c r="I21" s="44">
        <v>1.4473285364681401</v>
      </c>
      <c r="J21" s="75">
        <f t="shared" si="0"/>
        <v>1.574260134794421E-2</v>
      </c>
      <c r="K21" s="75">
        <f t="shared" si="1"/>
        <v>1.4670239519147874</v>
      </c>
      <c r="L21" s="44">
        <f t="shared" si="2"/>
        <v>28.010995029911523</v>
      </c>
      <c r="M21" s="65">
        <f t="shared" si="3"/>
        <v>3.2420133136471668E-4</v>
      </c>
    </row>
    <row r="22" spans="1:13" x14ac:dyDescent="0.25">
      <c r="A22">
        <v>66.349999999999994</v>
      </c>
      <c r="B22">
        <v>27.78</v>
      </c>
      <c r="C22">
        <v>5.86</v>
      </c>
      <c r="D22">
        <v>1.62</v>
      </c>
      <c r="E22" s="44">
        <v>5.5458441311269598E-2</v>
      </c>
      <c r="F22" s="44">
        <v>0.34045952122183798</v>
      </c>
      <c r="G22" s="44">
        <v>-1.7457944988895699</v>
      </c>
      <c r="H22" s="44">
        <v>0.173852351749849</v>
      </c>
      <c r="I22" s="44">
        <v>1.52788535425792</v>
      </c>
      <c r="J22" s="75">
        <f t="shared" si="0"/>
        <v>1.7955830666530677E-2</v>
      </c>
      <c r="K22" s="75">
        <f t="shared" si="1"/>
        <v>1.4922869865528958</v>
      </c>
      <c r="L22" s="44">
        <f t="shared" si="2"/>
        <v>33.719828277444584</v>
      </c>
      <c r="M22" s="65">
        <f t="shared" si="3"/>
        <v>3.9027579024820123E-4</v>
      </c>
    </row>
    <row r="23" spans="1:13" x14ac:dyDescent="0.25">
      <c r="A23">
        <v>55.39</v>
      </c>
      <c r="B23">
        <v>33.6</v>
      </c>
      <c r="C23">
        <v>11.01</v>
      </c>
      <c r="D23">
        <v>1.62</v>
      </c>
      <c r="E23" s="44">
        <v>6.4315284800713093E-2</v>
      </c>
      <c r="F23" s="44">
        <v>0.34483558241580797</v>
      </c>
      <c r="G23" s="44">
        <v>-1.878891499306</v>
      </c>
      <c r="H23" s="44">
        <v>0.148237734457529</v>
      </c>
      <c r="I23" s="44">
        <v>1.2164799934080299</v>
      </c>
      <c r="J23" s="75">
        <f t="shared" si="0"/>
        <v>1.3216257774624032E-2</v>
      </c>
      <c r="K23" s="75">
        <f t="shared" si="1"/>
        <v>1.4068174106130837</v>
      </c>
      <c r="L23" s="44">
        <f t="shared" si="2"/>
        <v>16.461901297376592</v>
      </c>
      <c r="M23" s="65">
        <f t="shared" si="3"/>
        <v>1.9053126501593278E-4</v>
      </c>
    </row>
    <row r="24" spans="1:13" x14ac:dyDescent="0.25">
      <c r="A24">
        <v>78.7</v>
      </c>
      <c r="B24">
        <v>21.3</v>
      </c>
      <c r="C24">
        <v>0</v>
      </c>
      <c r="D24">
        <v>1.62</v>
      </c>
      <c r="E24" s="44">
        <v>4.6340580526466599E-2</v>
      </c>
      <c r="F24" s="44">
        <v>0.33585295914299501</v>
      </c>
      <c r="G24" s="44">
        <v>-1.5933077816387</v>
      </c>
      <c r="H24" s="44">
        <v>0.251554883075919</v>
      </c>
      <c r="I24" s="44">
        <v>2.0242874404084898</v>
      </c>
      <c r="J24" s="75">
        <f t="shared" si="0"/>
        <v>2.5508928609533181E-2</v>
      </c>
      <c r="K24" s="75">
        <f t="shared" si="1"/>
        <v>1.784657506728637</v>
      </c>
      <c r="L24" s="44">
        <f t="shared" si="2"/>
        <v>105.75172017450416</v>
      </c>
      <c r="M24" s="65">
        <f t="shared" si="3"/>
        <v>1.2239782427604649E-3</v>
      </c>
    </row>
    <row r="25" spans="1:13" x14ac:dyDescent="0.25">
      <c r="A25">
        <v>41.8</v>
      </c>
      <c r="B25">
        <v>44.69</v>
      </c>
      <c r="C25">
        <v>13.51</v>
      </c>
      <c r="D25">
        <v>1.62</v>
      </c>
      <c r="E25" s="44">
        <v>6.9356162810122995E-2</v>
      </c>
      <c r="F25" s="44">
        <v>0.34567299853704198</v>
      </c>
      <c r="G25" s="44">
        <v>-2.0504126997979499</v>
      </c>
      <c r="H25" s="44">
        <v>0.14561610399577099</v>
      </c>
      <c r="I25" s="44">
        <v>1.0063694632901199</v>
      </c>
      <c r="J25" s="75">
        <f t="shared" si="0"/>
        <v>8.9040440568201457E-3</v>
      </c>
      <c r="K25" s="75">
        <f t="shared" si="1"/>
        <v>1.3983506994959161</v>
      </c>
      <c r="L25" s="44">
        <f t="shared" si="2"/>
        <v>10.147743081051345</v>
      </c>
      <c r="M25" s="65">
        <f t="shared" si="3"/>
        <v>1.1745073010476095E-4</v>
      </c>
    </row>
    <row r="26" spans="1:13" x14ac:dyDescent="0.25">
      <c r="A26">
        <v>76.11</v>
      </c>
      <c r="B26">
        <v>23.89</v>
      </c>
      <c r="C26">
        <v>0</v>
      </c>
      <c r="D26">
        <v>1.62</v>
      </c>
      <c r="E26" s="44">
        <v>4.6497963294370198E-2</v>
      </c>
      <c r="F26" s="44">
        <v>0.33480761469433401</v>
      </c>
      <c r="G26" s="44">
        <v>-1.61951047089542</v>
      </c>
      <c r="H26" s="44">
        <v>0.23359278328675201</v>
      </c>
      <c r="I26" s="44">
        <v>1.93784975582809</v>
      </c>
      <c r="J26" s="75">
        <f t="shared" si="0"/>
        <v>2.4015383657909992E-2</v>
      </c>
      <c r="K26" s="75">
        <f t="shared" si="1"/>
        <v>1.7123509667075223</v>
      </c>
      <c r="L26" s="44">
        <f t="shared" si="2"/>
        <v>86.666200217911339</v>
      </c>
      <c r="M26" s="65">
        <f t="shared" si="3"/>
        <v>1.0030810210406404E-3</v>
      </c>
    </row>
    <row r="27" spans="1:13" x14ac:dyDescent="0.25">
      <c r="A27">
        <v>42</v>
      </c>
      <c r="B27">
        <v>44.43</v>
      </c>
      <c r="C27">
        <v>13.57</v>
      </c>
      <c r="D27">
        <v>1.62</v>
      </c>
      <c r="E27" s="44">
        <v>6.9460832144882301E-2</v>
      </c>
      <c r="F27" s="44">
        <v>0.34573858005038699</v>
      </c>
      <c r="G27" s="44">
        <v>-2.04789043008262</v>
      </c>
      <c r="H27" s="44">
        <v>0.145337766170135</v>
      </c>
      <c r="I27" s="44">
        <v>1.0057328520586699</v>
      </c>
      <c r="J27" s="75">
        <f t="shared" si="0"/>
        <v>8.9559068925844833E-3</v>
      </c>
      <c r="K27" s="75">
        <f t="shared" si="1"/>
        <v>1.3974547885112927</v>
      </c>
      <c r="L27" s="44">
        <f t="shared" si="2"/>
        <v>10.13287889332177</v>
      </c>
      <c r="M27" s="65">
        <f t="shared" si="3"/>
        <v>1.172786908949279E-4</v>
      </c>
    </row>
    <row r="28" spans="1:13" x14ac:dyDescent="0.25">
      <c r="A28">
        <v>65.12</v>
      </c>
      <c r="B28">
        <v>29.82</v>
      </c>
      <c r="C28">
        <v>5.0599999999999996</v>
      </c>
      <c r="D28">
        <v>1.62</v>
      </c>
      <c r="E28" s="44">
        <v>5.4246883069756398E-2</v>
      </c>
      <c r="F28" s="44">
        <v>0.33876337428064801</v>
      </c>
      <c r="G28" s="44">
        <v>-1.7559747553016201</v>
      </c>
      <c r="H28" s="44">
        <v>0.17408936947259801</v>
      </c>
      <c r="I28" s="44">
        <v>1.5291750970009601</v>
      </c>
      <c r="J28" s="75">
        <f t="shared" si="0"/>
        <v>1.753982454486747E-2</v>
      </c>
      <c r="K28" s="75">
        <f t="shared" si="1"/>
        <v>1.4931016296386965</v>
      </c>
      <c r="L28" s="44">
        <f t="shared" si="2"/>
        <v>33.820116322794753</v>
      </c>
      <c r="M28" s="65">
        <f t="shared" si="3"/>
        <v>3.9143653151382817E-4</v>
      </c>
    </row>
    <row r="29" spans="1:13" x14ac:dyDescent="0.25">
      <c r="A29">
        <v>92.02</v>
      </c>
      <c r="B29">
        <v>7.98</v>
      </c>
      <c r="C29">
        <v>0</v>
      </c>
      <c r="D29">
        <v>1.62</v>
      </c>
      <c r="E29" s="44">
        <v>4.5616605908824E-2</v>
      </c>
      <c r="F29" s="44">
        <v>0.341310424229117</v>
      </c>
      <c r="G29" s="44">
        <v>-1.46838441536338</v>
      </c>
      <c r="H29" s="44">
        <v>0.44551048323585601</v>
      </c>
      <c r="I29" s="44">
        <v>2.68315093989892</v>
      </c>
      <c r="J29" s="75">
        <f t="shared" si="0"/>
        <v>3.4010701101696239E-2</v>
      </c>
      <c r="K29" s="75">
        <f t="shared" si="1"/>
        <v>2.7893979875295152</v>
      </c>
      <c r="L29" s="44">
        <f t="shared" si="2"/>
        <v>482.11532863856365</v>
      </c>
      <c r="M29" s="65">
        <f t="shared" si="3"/>
        <v>5.5800385259093012E-3</v>
      </c>
    </row>
    <row r="30" spans="1:13" x14ac:dyDescent="0.25">
      <c r="A30">
        <v>92.02</v>
      </c>
      <c r="B30">
        <v>7.98</v>
      </c>
      <c r="C30">
        <v>0</v>
      </c>
      <c r="D30">
        <v>1.62</v>
      </c>
      <c r="E30" s="44">
        <v>4.5616605908824E-2</v>
      </c>
      <c r="F30" s="44">
        <v>0.341310424229117</v>
      </c>
      <c r="G30" s="44">
        <v>-1.46838441536338</v>
      </c>
      <c r="H30" s="44">
        <v>0.44551048323585601</v>
      </c>
      <c r="I30" s="44">
        <v>2.68315093989892</v>
      </c>
      <c r="J30" s="75">
        <f t="shared" si="0"/>
        <v>3.4010701101696239E-2</v>
      </c>
      <c r="K30" s="75">
        <f t="shared" si="1"/>
        <v>2.7893979875295152</v>
      </c>
      <c r="L30" s="44">
        <f t="shared" si="2"/>
        <v>482.11532863856365</v>
      </c>
      <c r="M30" s="65">
        <f t="shared" si="3"/>
        <v>5.5800385259093012E-3</v>
      </c>
    </row>
    <row r="31" spans="1:13" x14ac:dyDescent="0.25">
      <c r="A31">
        <v>28.47</v>
      </c>
      <c r="B31">
        <v>56.72</v>
      </c>
      <c r="C31">
        <v>14.81</v>
      </c>
      <c r="D31">
        <v>1.62</v>
      </c>
      <c r="E31" s="44">
        <v>7.2607969615013201E-2</v>
      </c>
      <c r="F31" s="44">
        <v>0.35206250152282498</v>
      </c>
      <c r="G31" s="44">
        <v>-2.2017129900885899</v>
      </c>
      <c r="H31" s="44">
        <v>0.15300146775725201</v>
      </c>
      <c r="I31" s="44">
        <v>0.92948174133705797</v>
      </c>
      <c r="J31" s="75">
        <f t="shared" si="0"/>
        <v>6.2847355761956715E-3</v>
      </c>
      <c r="K31" s="75">
        <f t="shared" si="1"/>
        <v>1.4223335940844708</v>
      </c>
      <c r="L31" s="44">
        <f t="shared" si="2"/>
        <v>8.5012295146063028</v>
      </c>
      <c r="M31" s="65">
        <f t="shared" si="3"/>
        <v>9.8393860122758138E-5</v>
      </c>
    </row>
    <row r="32" spans="1:13" x14ac:dyDescent="0.25">
      <c r="A32">
        <v>53.1</v>
      </c>
      <c r="B32">
        <v>38.270000000000003</v>
      </c>
      <c r="C32">
        <v>8.6300000000000008</v>
      </c>
      <c r="D32">
        <v>1.62</v>
      </c>
      <c r="E32" s="44">
        <v>6.02282646776875E-2</v>
      </c>
      <c r="F32" s="44">
        <v>0.34075228931176499</v>
      </c>
      <c r="G32" s="44">
        <v>-1.9024273379219501</v>
      </c>
      <c r="H32" s="44">
        <v>0.154119120205854</v>
      </c>
      <c r="I32" s="44">
        <v>1.26106930050469</v>
      </c>
      <c r="J32" s="75">
        <f t="shared" si="0"/>
        <v>1.2519087131306131E-2</v>
      </c>
      <c r="K32" s="75">
        <f t="shared" si="1"/>
        <v>1.4259986691707953</v>
      </c>
      <c r="L32" s="44">
        <f t="shared" si="2"/>
        <v>18.241867651423824</v>
      </c>
      <c r="M32" s="65">
        <f t="shared" si="3"/>
        <v>2.1113272744703501E-4</v>
      </c>
    </row>
    <row r="33" spans="1:13" x14ac:dyDescent="0.25">
      <c r="A33">
        <v>78.27</v>
      </c>
      <c r="B33">
        <v>21.73</v>
      </c>
      <c r="C33">
        <v>0</v>
      </c>
      <c r="D33">
        <v>1.62</v>
      </c>
      <c r="E33" s="44">
        <v>4.6366995181180398E-2</v>
      </c>
      <c r="F33" s="44">
        <v>0.33567571698575199</v>
      </c>
      <c r="G33" s="44">
        <v>-1.59761823212237</v>
      </c>
      <c r="H33" s="44">
        <v>0.248262816762156</v>
      </c>
      <c r="I33" s="44">
        <v>2.00902005065559</v>
      </c>
      <c r="J33" s="75">
        <f t="shared" si="0"/>
        <v>2.5257000211603906E-2</v>
      </c>
      <c r="K33" s="75">
        <f t="shared" si="1"/>
        <v>1.7711804780280047</v>
      </c>
      <c r="L33" s="44">
        <f t="shared" si="2"/>
        <v>102.09866198776548</v>
      </c>
      <c r="M33" s="65">
        <f t="shared" si="3"/>
        <v>1.1816974767102485E-3</v>
      </c>
    </row>
    <row r="34" spans="1:13" x14ac:dyDescent="0.25">
      <c r="A34">
        <v>63.47</v>
      </c>
      <c r="B34">
        <v>27.64</v>
      </c>
      <c r="C34">
        <v>8.89</v>
      </c>
      <c r="D34">
        <v>1.62</v>
      </c>
      <c r="E34" s="44">
        <v>6.0489822150932598E-2</v>
      </c>
      <c r="F34" s="44">
        <v>0.34425246651515301</v>
      </c>
      <c r="G34" s="44">
        <v>-1.78605008164887</v>
      </c>
      <c r="H34" s="44">
        <v>0.15999228740247601</v>
      </c>
      <c r="I34" s="44">
        <v>1.3921022064648501</v>
      </c>
      <c r="J34" s="75">
        <f t="shared" si="0"/>
        <v>1.6366277791173427E-2</v>
      </c>
      <c r="K34" s="75">
        <f t="shared" si="1"/>
        <v>1.4454141015360411</v>
      </c>
      <c r="L34" s="44">
        <f t="shared" si="2"/>
        <v>24.666197609645714</v>
      </c>
      <c r="M34" s="65">
        <f t="shared" si="3"/>
        <v>2.8548839825978835E-4</v>
      </c>
    </row>
    <row r="35" spans="1:13" x14ac:dyDescent="0.25">
      <c r="A35">
        <v>68.459999999999994</v>
      </c>
      <c r="B35">
        <v>31.54</v>
      </c>
      <c r="C35">
        <v>0</v>
      </c>
      <c r="D35">
        <v>1.62</v>
      </c>
      <c r="E35" s="44">
        <v>4.6916580846309897E-2</v>
      </c>
      <c r="F35" s="44">
        <v>0.332215442985836</v>
      </c>
      <c r="G35" s="44">
        <v>-1.70078658675196</v>
      </c>
      <c r="H35" s="44">
        <v>0.20032370620554901</v>
      </c>
      <c r="I35" s="44">
        <v>1.74917847816219</v>
      </c>
      <c r="J35" s="75">
        <f t="shared" si="0"/>
        <v>1.9916518005623319E-2</v>
      </c>
      <c r="K35" s="75">
        <f t="shared" si="1"/>
        <v>1.5860749505316567</v>
      </c>
      <c r="L35" s="44">
        <f t="shared" si="2"/>
        <v>56.127859234102154</v>
      </c>
      <c r="M35" s="65">
        <f t="shared" si="3"/>
        <v>6.4962800039470084E-4</v>
      </c>
    </row>
    <row r="36" spans="1:13" x14ac:dyDescent="0.25">
      <c r="A36">
        <v>53.74</v>
      </c>
      <c r="B36">
        <v>37.159999999999997</v>
      </c>
      <c r="C36">
        <v>9.1</v>
      </c>
      <c r="D36">
        <v>1.62</v>
      </c>
      <c r="E36" s="44">
        <v>6.1009812476315498E-2</v>
      </c>
      <c r="F36" s="44">
        <v>0.34156322874315997</v>
      </c>
      <c r="G36" s="44">
        <v>-1.8952621019220299</v>
      </c>
      <c r="H36" s="44">
        <v>0.15290325648515801</v>
      </c>
      <c r="I36" s="44">
        <v>1.2533350715438001</v>
      </c>
      <c r="J36" s="75">
        <f t="shared" si="0"/>
        <v>1.2727347385278654E-2</v>
      </c>
      <c r="K36" s="75">
        <f t="shared" si="1"/>
        <v>1.422011984199971</v>
      </c>
      <c r="L36" s="44">
        <f t="shared" si="2"/>
        <v>17.919878945730275</v>
      </c>
      <c r="M36" s="65">
        <f t="shared" si="3"/>
        <v>2.0740600631632264E-4</v>
      </c>
    </row>
    <row r="37" spans="1:13" x14ac:dyDescent="0.25">
      <c r="A37">
        <v>57.61</v>
      </c>
      <c r="B37">
        <v>42.39</v>
      </c>
      <c r="C37">
        <v>0</v>
      </c>
      <c r="D37">
        <v>1.62</v>
      </c>
      <c r="E37" s="44">
        <v>4.7408125249157398E-2</v>
      </c>
      <c r="F37" s="44">
        <v>0.33030203533545999</v>
      </c>
      <c r="G37" s="44">
        <v>-1.8290854200353599</v>
      </c>
      <c r="H37" s="44">
        <v>0.182540428456128</v>
      </c>
      <c r="I37" s="44">
        <v>1.6003125804782901</v>
      </c>
      <c r="J37" s="75">
        <f t="shared" si="0"/>
        <v>1.4822265219337705E-2</v>
      </c>
      <c r="K37" s="75">
        <f t="shared" si="1"/>
        <v>1.5224408502425664</v>
      </c>
      <c r="L37" s="44">
        <f t="shared" si="2"/>
        <v>39.839380860285075</v>
      </c>
      <c r="M37" s="65">
        <f t="shared" si="3"/>
        <v>4.611039451421884E-4</v>
      </c>
    </row>
    <row r="38" spans="1:13" x14ac:dyDescent="0.25">
      <c r="A38">
        <v>72.73</v>
      </c>
      <c r="B38">
        <v>22.36</v>
      </c>
      <c r="C38">
        <v>4.91</v>
      </c>
      <c r="D38">
        <v>1.62</v>
      </c>
      <c r="E38" s="44">
        <v>5.3756682337754602E-2</v>
      </c>
      <c r="F38" s="44">
        <v>0.341478064303676</v>
      </c>
      <c r="G38" s="44">
        <v>-1.6776289362536401</v>
      </c>
      <c r="H38" s="44">
        <v>0.19546822767022601</v>
      </c>
      <c r="I38" s="44">
        <v>1.6960881890801101</v>
      </c>
      <c r="J38" s="75">
        <f t="shared" si="0"/>
        <v>2.100733996481937E-2</v>
      </c>
      <c r="K38" s="75">
        <f t="shared" si="1"/>
        <v>1.5684411486922598</v>
      </c>
      <c r="L38" s="44">
        <f t="shared" si="2"/>
        <v>49.669317114706033</v>
      </c>
      <c r="M38" s="65">
        <f t="shared" si="3"/>
        <v>5.7487635549428276E-4</v>
      </c>
    </row>
    <row r="39" spans="1:13" x14ac:dyDescent="0.25">
      <c r="A39">
        <v>83.76</v>
      </c>
      <c r="B39">
        <v>16.239999999999998</v>
      </c>
      <c r="C39">
        <v>0</v>
      </c>
      <c r="D39">
        <v>1.62</v>
      </c>
      <c r="E39" s="44">
        <v>4.6035214310971698E-2</v>
      </c>
      <c r="F39" s="44">
        <v>0.33797545080355401</v>
      </c>
      <c r="G39" s="44">
        <v>-1.5436772249841</v>
      </c>
      <c r="H39" s="44">
        <v>0.302071092839449</v>
      </c>
      <c r="I39" s="44">
        <v>2.2338986037891502</v>
      </c>
      <c r="J39" s="75">
        <f t="shared" si="0"/>
        <v>2.8597151424956033E-2</v>
      </c>
      <c r="K39" s="75">
        <f t="shared" si="1"/>
        <v>2.0048001809068832</v>
      </c>
      <c r="L39" s="44">
        <f t="shared" si="2"/>
        <v>171.3557190772361</v>
      </c>
      <c r="M39" s="65">
        <f t="shared" si="3"/>
        <v>1.9832837856161587E-3</v>
      </c>
    </row>
    <row r="40" spans="1:13" x14ac:dyDescent="0.25">
      <c r="A40">
        <v>57.73</v>
      </c>
      <c r="B40">
        <v>34.61</v>
      </c>
      <c r="C40">
        <v>7.66</v>
      </c>
      <c r="D40">
        <v>1.62</v>
      </c>
      <c r="E40" s="44">
        <v>5.85313806609035E-2</v>
      </c>
      <c r="F40" s="44">
        <v>0.34049413771453801</v>
      </c>
      <c r="G40" s="44">
        <v>-1.8453403968095801</v>
      </c>
      <c r="H40" s="44">
        <v>0.158104881505852</v>
      </c>
      <c r="I40" s="44">
        <v>1.34380284705672</v>
      </c>
      <c r="J40" s="75">
        <f t="shared" si="0"/>
        <v>1.4277744407646424E-2</v>
      </c>
      <c r="K40" s="75">
        <f t="shared" si="1"/>
        <v>1.4391460880464035</v>
      </c>
      <c r="L40" s="44">
        <f t="shared" si="2"/>
        <v>22.070026115162104</v>
      </c>
      <c r="M40" s="65">
        <f t="shared" si="3"/>
        <v>2.5544011707363546E-4</v>
      </c>
    </row>
    <row r="41" spans="1:13" x14ac:dyDescent="0.25">
      <c r="A41">
        <v>48.63</v>
      </c>
      <c r="B41">
        <v>40.93</v>
      </c>
      <c r="C41">
        <v>10.44</v>
      </c>
      <c r="D41">
        <v>1.62</v>
      </c>
      <c r="E41" s="44">
        <v>6.3462189719658293E-2</v>
      </c>
      <c r="F41" s="44">
        <v>0.34232453287876602</v>
      </c>
      <c r="G41" s="44">
        <v>-1.9610922789332601</v>
      </c>
      <c r="H41" s="44">
        <v>0.149980582011564</v>
      </c>
      <c r="I41" s="44">
        <v>1.1593486386845</v>
      </c>
      <c r="J41" s="75">
        <f t="shared" si="0"/>
        <v>1.0937239470113418E-2</v>
      </c>
      <c r="K41" s="75">
        <f t="shared" si="1"/>
        <v>1.4124743892623475</v>
      </c>
      <c r="L41" s="44">
        <f t="shared" si="2"/>
        <v>14.432735036113217</v>
      </c>
      <c r="M41" s="65">
        <f t="shared" si="3"/>
        <v>1.6704554439945853E-4</v>
      </c>
    </row>
    <row r="42" spans="1:13" x14ac:dyDescent="0.25">
      <c r="A42">
        <v>56.95</v>
      </c>
      <c r="B42">
        <v>38.33</v>
      </c>
      <c r="C42">
        <v>4.72</v>
      </c>
      <c r="D42">
        <v>1.62</v>
      </c>
      <c r="E42" s="44">
        <v>5.3930312342117599E-2</v>
      </c>
      <c r="F42" s="44">
        <v>0.33616561216468499</v>
      </c>
      <c r="G42" s="44">
        <v>-1.84825596280792</v>
      </c>
      <c r="H42" s="44">
        <v>0.16630703259627699</v>
      </c>
      <c r="I42" s="44">
        <v>1.42840695360797</v>
      </c>
      <c r="J42" s="75">
        <f t="shared" si="0"/>
        <v>1.4182214094526864E-2</v>
      </c>
      <c r="K42" s="75">
        <f t="shared" si="1"/>
        <v>1.4665843037075932</v>
      </c>
      <c r="L42" s="44">
        <f t="shared" si="2"/>
        <v>26.81680003530456</v>
      </c>
      <c r="M42" s="65">
        <f t="shared" si="3"/>
        <v>3.1037963003824722E-4</v>
      </c>
    </row>
    <row r="43" spans="1:13" x14ac:dyDescent="0.25">
      <c r="A43">
        <v>64.34</v>
      </c>
      <c r="B43">
        <v>35.659999999999997</v>
      </c>
      <c r="C43">
        <v>0</v>
      </c>
      <c r="D43">
        <v>1.62</v>
      </c>
      <c r="E43" s="44">
        <v>4.7111442186547503E-2</v>
      </c>
      <c r="F43" s="44">
        <v>0.33122993181618698</v>
      </c>
      <c r="G43" s="44">
        <v>-1.7474570021332101</v>
      </c>
      <c r="H43" s="44">
        <v>0.190605296359207</v>
      </c>
      <c r="I43" s="44">
        <v>1.6797996107247</v>
      </c>
      <c r="J43" s="75">
        <f t="shared" si="0"/>
        <v>1.7887226150545402E-2</v>
      </c>
      <c r="K43" s="75">
        <f t="shared" si="1"/>
        <v>1.5509767814680728</v>
      </c>
      <c r="L43" s="44">
        <f t="shared" si="2"/>
        <v>47.84092969473366</v>
      </c>
      <c r="M43" s="65">
        <f t="shared" si="3"/>
        <v>5.5371446405941738E-4</v>
      </c>
    </row>
    <row r="44" spans="1:13" x14ac:dyDescent="0.25">
      <c r="A44">
        <v>45.44</v>
      </c>
      <c r="B44">
        <v>45.33</v>
      </c>
      <c r="C44">
        <v>9.23</v>
      </c>
      <c r="D44">
        <v>1.62</v>
      </c>
      <c r="E44" s="44">
        <v>6.1482404915705398E-2</v>
      </c>
      <c r="F44" s="44">
        <v>0.340471496777557</v>
      </c>
      <c r="G44" s="44">
        <v>-2.0026601904528598</v>
      </c>
      <c r="H44" s="44">
        <v>0.154606262886749</v>
      </c>
      <c r="I44" s="44">
        <v>1.1730037920454801</v>
      </c>
      <c r="J44" s="75">
        <f t="shared" si="0"/>
        <v>9.9389340661539243E-3</v>
      </c>
      <c r="K44" s="75">
        <f t="shared" si="1"/>
        <v>1.4275990914366452</v>
      </c>
      <c r="L44" s="44">
        <f t="shared" si="2"/>
        <v>14.893740821349526</v>
      </c>
      <c r="M44" s="65">
        <f t="shared" si="3"/>
        <v>1.7238125950636026E-4</v>
      </c>
    </row>
    <row r="45" spans="1:13" x14ac:dyDescent="0.25">
      <c r="A45">
        <v>79.180000000000007</v>
      </c>
      <c r="B45">
        <v>20.82</v>
      </c>
      <c r="C45">
        <v>0</v>
      </c>
      <c r="D45">
        <v>1.62</v>
      </c>
      <c r="E45" s="44">
        <v>4.6311036498206101E-2</v>
      </c>
      <c r="F45" s="44">
        <v>0.33605211205952501</v>
      </c>
      <c r="G45" s="44">
        <v>-1.58851407432876</v>
      </c>
      <c r="H45" s="44">
        <v>0.25538988467417401</v>
      </c>
      <c r="I45" s="44">
        <v>2.0417794046786701</v>
      </c>
      <c r="J45" s="75">
        <f t="shared" si="0"/>
        <v>2.5792053778885129E-2</v>
      </c>
      <c r="K45" s="75">
        <f t="shared" si="1"/>
        <v>1.8004865633605318</v>
      </c>
      <c r="L45" s="44">
        <f t="shared" si="2"/>
        <v>110.09799362928827</v>
      </c>
      <c r="M45" s="65">
        <f t="shared" si="3"/>
        <v>1.2742823336723179E-3</v>
      </c>
    </row>
    <row r="46" spans="1:13" x14ac:dyDescent="0.25">
      <c r="A46">
        <v>84.97</v>
      </c>
      <c r="B46">
        <v>15.03</v>
      </c>
      <c r="C46">
        <v>0</v>
      </c>
      <c r="D46">
        <v>1.62</v>
      </c>
      <c r="E46" s="44">
        <v>4.596729203351E-2</v>
      </c>
      <c r="F46" s="44">
        <v>0.33847598437487397</v>
      </c>
      <c r="G46" s="44">
        <v>-1.53209985698607</v>
      </c>
      <c r="H46" s="44">
        <v>0.318034351518727</v>
      </c>
      <c r="I46" s="44">
        <v>2.29250389155471</v>
      </c>
      <c r="J46" s="75">
        <f t="shared" si="0"/>
        <v>2.9369742781520346E-2</v>
      </c>
      <c r="K46" s="75">
        <f t="shared" si="1"/>
        <v>2.0798611919918066</v>
      </c>
      <c r="L46" s="44">
        <f t="shared" si="2"/>
        <v>196.11187482683064</v>
      </c>
      <c r="M46" s="65">
        <f t="shared" si="3"/>
        <v>2.2698133660512807E-3</v>
      </c>
    </row>
    <row r="47" spans="1:13" x14ac:dyDescent="0.25">
      <c r="A47">
        <v>57.54</v>
      </c>
      <c r="B47">
        <v>39.28</v>
      </c>
      <c r="C47">
        <v>3.18</v>
      </c>
      <c r="D47">
        <v>1.62</v>
      </c>
      <c r="E47" s="44">
        <v>5.1667254367026703E-2</v>
      </c>
      <c r="F47" s="44">
        <v>0.33422425338539402</v>
      </c>
      <c r="G47" s="44">
        <v>-1.83761998796662</v>
      </c>
      <c r="H47" s="44">
        <v>0.17147611824210399</v>
      </c>
      <c r="I47" s="44">
        <v>1.4866440761359001</v>
      </c>
      <c r="J47" s="75">
        <f t="shared" si="0"/>
        <v>1.4533827858984202E-2</v>
      </c>
      <c r="K47" s="75">
        <f t="shared" si="1"/>
        <v>1.4841442650543812</v>
      </c>
      <c r="L47" s="44">
        <f t="shared" si="2"/>
        <v>30.665078171945712</v>
      </c>
      <c r="M47" s="65">
        <f t="shared" si="3"/>
        <v>3.5491988624937167E-4</v>
      </c>
    </row>
    <row r="48" spans="1:13" x14ac:dyDescent="0.25">
      <c r="A48">
        <v>86.12</v>
      </c>
      <c r="B48">
        <v>13.88</v>
      </c>
      <c r="C48">
        <v>0</v>
      </c>
      <c r="D48">
        <v>1.62</v>
      </c>
      <c r="E48" s="44">
        <v>4.5905524123266803E-2</v>
      </c>
      <c r="F48" s="44">
        <v>0.33894501318783299</v>
      </c>
      <c r="G48" s="44">
        <v>-1.5212125183788301</v>
      </c>
      <c r="H48" s="44">
        <v>0.33483114933927499</v>
      </c>
      <c r="I48" s="44">
        <v>2.35111103071179</v>
      </c>
      <c r="J48" s="75">
        <f t="shared" si="0"/>
        <v>3.0115319955247504E-2</v>
      </c>
      <c r="K48" s="75">
        <f t="shared" si="1"/>
        <v>2.1618778373101311</v>
      </c>
      <c r="L48" s="44">
        <f t="shared" si="2"/>
        <v>224.44556627260815</v>
      </c>
      <c r="M48" s="65">
        <f t="shared" si="3"/>
        <v>2.5977496096366683E-3</v>
      </c>
    </row>
    <row r="49" spans="1:13" x14ac:dyDescent="0.25">
      <c r="A49">
        <v>45.96</v>
      </c>
      <c r="B49">
        <v>45.25</v>
      </c>
      <c r="C49">
        <v>8.7899999999999991</v>
      </c>
      <c r="D49">
        <v>1.62</v>
      </c>
      <c r="E49" s="44">
        <v>6.0717861229228599E-2</v>
      </c>
      <c r="F49" s="44">
        <v>0.33995425906166599</v>
      </c>
      <c r="G49" s="44">
        <v>-1.9955370659348599</v>
      </c>
      <c r="H49" s="44">
        <v>0.155538131161955</v>
      </c>
      <c r="I49" s="44">
        <v>1.19183352839039</v>
      </c>
      <c r="J49" s="75">
        <f t="shared" si="0"/>
        <v>1.0103292678024619E-2</v>
      </c>
      <c r="K49" s="75">
        <f t="shared" si="1"/>
        <v>1.4306655880950958</v>
      </c>
      <c r="L49" s="44">
        <f t="shared" si="2"/>
        <v>15.553693208610824</v>
      </c>
      <c r="M49" s="65">
        <f t="shared" si="3"/>
        <v>1.8001959732188454E-4</v>
      </c>
    </row>
    <row r="50" spans="1:13" x14ac:dyDescent="0.25">
      <c r="A50">
        <v>61.86</v>
      </c>
      <c r="B50">
        <v>38.14</v>
      </c>
      <c r="C50">
        <v>0</v>
      </c>
      <c r="D50">
        <v>1.62</v>
      </c>
      <c r="E50" s="44">
        <v>4.7221772096702197E-2</v>
      </c>
      <c r="F50" s="44">
        <v>0.33078985518635301</v>
      </c>
      <c r="G50" s="44">
        <v>-1.7766981385848699</v>
      </c>
      <c r="H50" s="44">
        <v>0.18666196698326101</v>
      </c>
      <c r="I50" s="44">
        <v>1.6462974610882599</v>
      </c>
      <c r="J50" s="75">
        <f t="shared" si="0"/>
        <v>1.6722525289722092E-2</v>
      </c>
      <c r="K50" s="75">
        <f t="shared" si="1"/>
        <v>1.5369578837770346</v>
      </c>
      <c r="L50" s="44">
        <f t="shared" si="2"/>
        <v>44.289161801995128</v>
      </c>
      <c r="M50" s="65">
        <f t="shared" si="3"/>
        <v>5.126060393749436E-4</v>
      </c>
    </row>
    <row r="51" spans="1:13" x14ac:dyDescent="0.25">
      <c r="A51">
        <v>84.96</v>
      </c>
      <c r="B51">
        <v>15.04</v>
      </c>
      <c r="C51">
        <v>0</v>
      </c>
      <c r="D51">
        <v>1.62</v>
      </c>
      <c r="E51" s="44">
        <v>4.5967841181907297E-2</v>
      </c>
      <c r="F51" s="44">
        <v>0.33847187694063802</v>
      </c>
      <c r="G51" s="44">
        <v>-1.5321950496048</v>
      </c>
      <c r="H51" s="44">
        <v>0.317895349737087</v>
      </c>
      <c r="I51" s="44">
        <v>2.2920063961877002</v>
      </c>
      <c r="J51" s="75">
        <f t="shared" si="0"/>
        <v>2.9363305959356784E-2</v>
      </c>
      <c r="K51" s="75">
        <f t="shared" si="1"/>
        <v>2.0791956110038909</v>
      </c>
      <c r="L51" s="44">
        <f t="shared" si="2"/>
        <v>195.88735231252991</v>
      </c>
      <c r="M51" s="65">
        <f t="shared" si="3"/>
        <v>2.2672147258394667E-3</v>
      </c>
    </row>
    <row r="52" spans="1:13" x14ac:dyDescent="0.25">
      <c r="A52">
        <v>62.28</v>
      </c>
      <c r="B52">
        <v>28.15</v>
      </c>
      <c r="C52">
        <v>9.56</v>
      </c>
      <c r="D52">
        <v>1.62</v>
      </c>
      <c r="E52" s="44">
        <v>6.1663110127835701E-2</v>
      </c>
      <c r="F52" s="44">
        <v>0.34490850738821199</v>
      </c>
      <c r="G52" s="44">
        <v>-1.8003721920632501</v>
      </c>
      <c r="H52" s="44">
        <v>0.156659585880358</v>
      </c>
      <c r="I52" s="44">
        <v>1.3543740269758799</v>
      </c>
      <c r="J52" s="75">
        <f t="shared" si="0"/>
        <v>1.5835355146702007E-2</v>
      </c>
      <c r="K52" s="75">
        <f t="shared" si="1"/>
        <v>1.4343646909773138</v>
      </c>
      <c r="L52" s="44">
        <f t="shared" si="2"/>
        <v>22.613824998618167</v>
      </c>
      <c r="M52" s="65">
        <f t="shared" si="3"/>
        <v>2.617340856321547E-4</v>
      </c>
    </row>
    <row r="53" spans="1:13" x14ac:dyDescent="0.25">
      <c r="A53">
        <v>60.94</v>
      </c>
      <c r="B53">
        <v>33.659999999999997</v>
      </c>
      <c r="C53">
        <v>5.4</v>
      </c>
      <c r="D53">
        <v>1.62</v>
      </c>
      <c r="E53" s="44">
        <v>5.4873374760123501E-2</v>
      </c>
      <c r="F53" s="44">
        <v>0.33802972600063402</v>
      </c>
      <c r="G53" s="44">
        <v>-1.80305333369565</v>
      </c>
      <c r="H53" s="44">
        <v>0.16720679241851999</v>
      </c>
      <c r="I53" s="44">
        <v>1.4548956229902601</v>
      </c>
      <c r="J53" s="75">
        <f t="shared" si="0"/>
        <v>1.5737895827824061E-2</v>
      </c>
      <c r="K53" s="75">
        <f t="shared" si="1"/>
        <v>1.4696258839274814</v>
      </c>
      <c r="L53" s="44">
        <f t="shared" si="2"/>
        <v>28.5033314481202</v>
      </c>
      <c r="M53" s="65">
        <f t="shared" si="3"/>
        <v>3.2989966953842826E-4</v>
      </c>
    </row>
    <row r="54" spans="1:13" x14ac:dyDescent="0.25">
      <c r="A54">
        <v>45.22</v>
      </c>
      <c r="B54">
        <v>41.4</v>
      </c>
      <c r="C54">
        <v>13.38</v>
      </c>
      <c r="D54">
        <v>1.62</v>
      </c>
      <c r="E54" s="44">
        <v>6.8960735459735301E-2</v>
      </c>
      <c r="F54" s="44">
        <v>0.34568761458993202</v>
      </c>
      <c r="G54" s="44">
        <v>-2.0067107354383098</v>
      </c>
      <c r="H54" s="44">
        <v>0.14395966837994001</v>
      </c>
      <c r="I54" s="44">
        <v>1.03654819390672</v>
      </c>
      <c r="J54" s="75">
        <f t="shared" si="0"/>
        <v>9.8466673084295145E-3</v>
      </c>
      <c r="K54" s="75">
        <f t="shared" si="1"/>
        <v>1.3930274306777184</v>
      </c>
      <c r="L54" s="44">
        <f t="shared" si="2"/>
        <v>10.877978444815598</v>
      </c>
      <c r="M54" s="65">
        <f t="shared" si="3"/>
        <v>1.2590252829647682E-4</v>
      </c>
    </row>
    <row r="55" spans="1:13" x14ac:dyDescent="0.25">
      <c r="A55">
        <v>73.510000000000005</v>
      </c>
      <c r="B55">
        <v>26.49</v>
      </c>
      <c r="C55">
        <v>0</v>
      </c>
      <c r="D55">
        <v>1.62</v>
      </c>
      <c r="E55" s="44">
        <v>4.66491654756944E-2</v>
      </c>
      <c r="F55" s="44">
        <v>0.333829668294573</v>
      </c>
      <c r="G55" s="44">
        <v>-1.6464343883102599</v>
      </c>
      <c r="H55" s="44">
        <v>0.21946538273583399</v>
      </c>
      <c r="I55" s="44">
        <v>1.86349574729528</v>
      </c>
      <c r="J55" s="75">
        <f t="shared" si="0"/>
        <v>2.2571769761340458E-2</v>
      </c>
      <c r="K55" s="75">
        <f t="shared" si="1"/>
        <v>1.657545209986355</v>
      </c>
      <c r="L55" s="44">
        <f t="shared" si="2"/>
        <v>73.029066167555115</v>
      </c>
      <c r="M55" s="65">
        <f t="shared" si="3"/>
        <v>8.4524382138373975E-4</v>
      </c>
    </row>
    <row r="56" spans="1:13" x14ac:dyDescent="0.25">
      <c r="A56">
        <v>76.06</v>
      </c>
      <c r="B56">
        <v>23.94</v>
      </c>
      <c r="C56">
        <v>0</v>
      </c>
      <c r="D56">
        <v>1.62</v>
      </c>
      <c r="E56" s="44">
        <v>4.65009469284157E-2</v>
      </c>
      <c r="F56" s="44">
        <v>0.33478804588455002</v>
      </c>
      <c r="G56" s="44">
        <v>-1.6200221516044899</v>
      </c>
      <c r="H56" s="44">
        <v>0.23328717667762999</v>
      </c>
      <c r="I56" s="44">
        <v>1.93630729440987</v>
      </c>
      <c r="J56" s="75">
        <f t="shared" si="0"/>
        <v>2.3987105673776439E-2</v>
      </c>
      <c r="K56" s="75">
        <f t="shared" si="1"/>
        <v>1.7111464344920069</v>
      </c>
      <c r="L56" s="44">
        <f t="shared" si="2"/>
        <v>86.358938289535246</v>
      </c>
      <c r="M56" s="65">
        <f t="shared" si="3"/>
        <v>9.9952474872147274E-4</v>
      </c>
    </row>
    <row r="57" spans="1:13" x14ac:dyDescent="0.25">
      <c r="A57">
        <v>66.75</v>
      </c>
      <c r="B57">
        <v>26.83</v>
      </c>
      <c r="C57">
        <v>6.41</v>
      </c>
      <c r="D57">
        <v>1.62</v>
      </c>
      <c r="E57" s="44">
        <v>5.6320502254086198E-2</v>
      </c>
      <c r="F57" s="44">
        <v>0.34149164524659698</v>
      </c>
      <c r="G57" s="44">
        <v>-1.7437031917782599</v>
      </c>
      <c r="H57" s="44">
        <v>0.17291769469527399</v>
      </c>
      <c r="I57" s="44">
        <v>1.51983621308252</v>
      </c>
      <c r="J57" s="75">
        <f t="shared" si="0"/>
        <v>1.8042503915639465E-2</v>
      </c>
      <c r="K57" s="75">
        <f t="shared" si="1"/>
        <v>1.4890788482385244</v>
      </c>
      <c r="L57" s="44">
        <f t="shared" si="2"/>
        <v>33.100626445052676</v>
      </c>
      <c r="M57" s="65">
        <f t="shared" si="3"/>
        <v>3.8310910237329487E-4</v>
      </c>
    </row>
    <row r="58" spans="1:13" x14ac:dyDescent="0.25">
      <c r="A58">
        <v>94.95</v>
      </c>
      <c r="B58">
        <v>5.05</v>
      </c>
      <c r="C58">
        <v>0</v>
      </c>
      <c r="D58">
        <v>1.62</v>
      </c>
      <c r="E58" s="44">
        <v>4.54757021899675E-2</v>
      </c>
      <c r="F58" s="44">
        <v>0.34251910110738099</v>
      </c>
      <c r="G58" s="44">
        <v>-1.4445828909276599</v>
      </c>
      <c r="H58" s="44">
        <v>0.51383936440967204</v>
      </c>
      <c r="I58" s="44">
        <v>2.85779588631052</v>
      </c>
      <c r="J58" s="75">
        <f t="shared" si="0"/>
        <v>3.5926681931932943E-2</v>
      </c>
      <c r="K58" s="75">
        <f t="shared" si="1"/>
        <v>3.2646705714428781</v>
      </c>
      <c r="L58" s="44">
        <f t="shared" si="2"/>
        <v>720.76864613003261</v>
      </c>
      <c r="M58" s="65">
        <f t="shared" si="3"/>
        <v>8.3422297005790805E-3</v>
      </c>
    </row>
    <row r="59" spans="1:13" x14ac:dyDescent="0.25">
      <c r="A59">
        <v>87.48</v>
      </c>
      <c r="B59">
        <v>12.52</v>
      </c>
      <c r="C59">
        <v>0</v>
      </c>
      <c r="D59">
        <v>1.62</v>
      </c>
      <c r="E59" s="44">
        <v>4.5835784786911603E-2</v>
      </c>
      <c r="F59" s="44">
        <v>0.33949219993993401</v>
      </c>
      <c r="G59" s="44">
        <v>-1.50851713272883</v>
      </c>
      <c r="H59" s="44">
        <v>0.35679772335874799</v>
      </c>
      <c r="I59" s="44">
        <v>2.4237001315101701</v>
      </c>
      <c r="J59" s="75">
        <f t="shared" si="0"/>
        <v>3.1008650583386258E-2</v>
      </c>
      <c r="K59" s="75">
        <f t="shared" si="1"/>
        <v>2.2740380299929766</v>
      </c>
      <c r="L59" s="44">
        <f t="shared" si="2"/>
        <v>265.27732619165209</v>
      </c>
      <c r="M59" s="65">
        <f t="shared" si="3"/>
        <v>3.0703394235144918E-3</v>
      </c>
    </row>
    <row r="60" spans="1:13" x14ac:dyDescent="0.25">
      <c r="A60">
        <v>72.95</v>
      </c>
      <c r="B60">
        <v>27.05</v>
      </c>
      <c r="C60">
        <v>0</v>
      </c>
      <c r="D60">
        <v>1.62</v>
      </c>
      <c r="E60" s="44">
        <v>4.6680568853514098E-2</v>
      </c>
      <c r="F60" s="44">
        <v>0.33363079069602503</v>
      </c>
      <c r="G60" s="44">
        <v>-1.6523218546116401</v>
      </c>
      <c r="H60" s="44">
        <v>0.21685186848497001</v>
      </c>
      <c r="I60" s="44">
        <v>1.84896638462435</v>
      </c>
      <c r="J60" s="75">
        <f t="shared" si="0"/>
        <v>2.2267842730664036E-2</v>
      </c>
      <c r="K60" s="75">
        <f t="shared" si="1"/>
        <v>1.6476003232288501</v>
      </c>
      <c r="L60" s="44">
        <f t="shared" si="2"/>
        <v>70.626288580171831</v>
      </c>
      <c r="M60" s="65">
        <f t="shared" si="3"/>
        <v>8.1743389560384066E-4</v>
      </c>
    </row>
    <row r="61" spans="1:13" x14ac:dyDescent="0.25">
      <c r="A61">
        <v>40.130000000000003</v>
      </c>
      <c r="B61">
        <v>48.89</v>
      </c>
      <c r="C61">
        <v>10.99</v>
      </c>
      <c r="D61">
        <v>1.62</v>
      </c>
      <c r="E61" s="44">
        <v>6.4801492028872101E-2</v>
      </c>
      <c r="F61" s="44">
        <v>0.34304506473041801</v>
      </c>
      <c r="G61" s="44">
        <v>-2.0714528758497002</v>
      </c>
      <c r="H61" s="44">
        <v>0.15330868290375901</v>
      </c>
      <c r="I61" s="44">
        <v>1.08297002828825</v>
      </c>
      <c r="J61" s="75">
        <f t="shared" si="0"/>
        <v>8.4829542376075612E-3</v>
      </c>
      <c r="K61" s="75">
        <f t="shared" si="1"/>
        <v>1.4233400931982323</v>
      </c>
      <c r="L61" s="44">
        <f t="shared" si="2"/>
        <v>12.105145901304493</v>
      </c>
      <c r="M61" s="65">
        <f t="shared" si="3"/>
        <v>1.4010585533917236E-4</v>
      </c>
    </row>
    <row r="62" spans="1:13" x14ac:dyDescent="0.25">
      <c r="A62">
        <v>82.87</v>
      </c>
      <c r="B62">
        <v>17.13</v>
      </c>
      <c r="C62">
        <v>0</v>
      </c>
      <c r="D62">
        <v>1.62</v>
      </c>
      <c r="E62" s="44">
        <v>4.6086930758541401E-2</v>
      </c>
      <c r="F62" s="44">
        <v>0.337603307427846</v>
      </c>
      <c r="G62" s="44">
        <v>-1.5522653810506699</v>
      </c>
      <c r="H62" s="44">
        <v>0.29138828143183498</v>
      </c>
      <c r="I62" s="44">
        <v>2.1928860146777001</v>
      </c>
      <c r="J62" s="75">
        <f t="shared" si="0"/>
        <v>2.8037198664601581E-2</v>
      </c>
      <c r="K62" s="75">
        <f t="shared" si="1"/>
        <v>1.956087516303372</v>
      </c>
      <c r="L62" s="44">
        <f t="shared" si="2"/>
        <v>155.91432349780624</v>
      </c>
      <c r="M62" s="65">
        <f t="shared" si="3"/>
        <v>1.8045639293727573E-3</v>
      </c>
    </row>
    <row r="63" spans="1:13" x14ac:dyDescent="0.25">
      <c r="A63">
        <v>56.94</v>
      </c>
      <c r="B63">
        <v>30.68</v>
      </c>
      <c r="C63">
        <v>12.38</v>
      </c>
      <c r="D63">
        <v>1.62</v>
      </c>
      <c r="E63" s="44">
        <v>6.6784563763967505E-2</v>
      </c>
      <c r="F63" s="44">
        <v>0.34749063053923401</v>
      </c>
      <c r="G63" s="44">
        <v>-1.86412260123896</v>
      </c>
      <c r="H63" s="44">
        <v>0.145337003969504</v>
      </c>
      <c r="I63" s="44">
        <v>1.19963019128897</v>
      </c>
      <c r="J63" s="75">
        <f t="shared" si="0"/>
        <v>1.3673427705363488E-2</v>
      </c>
      <c r="K63" s="75">
        <f t="shared" si="1"/>
        <v>1.3974523359358368</v>
      </c>
      <c r="L63" s="44">
        <f t="shared" si="2"/>
        <v>15.835442049331396</v>
      </c>
      <c r="M63" s="65">
        <f t="shared" si="3"/>
        <v>1.8328057927466894E-4</v>
      </c>
    </row>
    <row r="64" spans="1:13" x14ac:dyDescent="0.25">
      <c r="A64">
        <v>49.4</v>
      </c>
      <c r="B64">
        <v>38.96</v>
      </c>
      <c r="C64">
        <v>11.64</v>
      </c>
      <c r="D64">
        <v>1.62</v>
      </c>
      <c r="E64" s="44">
        <v>6.5585999581737595E-2</v>
      </c>
      <c r="F64" s="44">
        <v>0.34412043727222502</v>
      </c>
      <c r="G64" s="44">
        <v>-1.9520761365863299</v>
      </c>
      <c r="H64" s="44">
        <v>0.14668002495166099</v>
      </c>
      <c r="I64" s="44">
        <v>1.1298146823520601</v>
      </c>
      <c r="J64" s="75">
        <f t="shared" si="0"/>
        <v>1.1166674665644694E-2</v>
      </c>
      <c r="K64" s="75">
        <f t="shared" si="1"/>
        <v>1.4017805344734513</v>
      </c>
      <c r="L64" s="44">
        <f t="shared" si="2"/>
        <v>13.483873899001589</v>
      </c>
      <c r="M64" s="65">
        <f t="shared" si="3"/>
        <v>1.5606335531251838E-4</v>
      </c>
    </row>
    <row r="65" spans="1:13" x14ac:dyDescent="0.25">
      <c r="A65">
        <v>51.17</v>
      </c>
      <c r="B65">
        <v>37.67</v>
      </c>
      <c r="C65">
        <v>11.17</v>
      </c>
      <c r="D65">
        <v>1.62</v>
      </c>
      <c r="E65" s="44">
        <v>6.4686339196377604E-2</v>
      </c>
      <c r="F65" s="44">
        <v>0.34386767745616598</v>
      </c>
      <c r="G65" s="44">
        <v>-1.92952705524882</v>
      </c>
      <c r="H65" s="44">
        <v>0.14754871984579401</v>
      </c>
      <c r="I65" s="44">
        <v>1.1625258106629299</v>
      </c>
      <c r="J65" s="75">
        <f t="shared" si="0"/>
        <v>1.1761777100447049E-2</v>
      </c>
      <c r="K65" s="75">
        <f t="shared" si="1"/>
        <v>1.4045872435713191</v>
      </c>
      <c r="L65" s="44">
        <f t="shared" si="2"/>
        <v>14.538707883950771</v>
      </c>
      <c r="M65" s="65">
        <f t="shared" si="3"/>
        <v>1.6827208199017096E-4</v>
      </c>
    </row>
    <row r="66" spans="1:13" x14ac:dyDescent="0.25">
      <c r="A66">
        <v>66.16</v>
      </c>
      <c r="B66">
        <v>33.840000000000003</v>
      </c>
      <c r="C66">
        <v>0</v>
      </c>
      <c r="D66">
        <v>1.62</v>
      </c>
      <c r="E66" s="44">
        <v>4.7027515775495E-2</v>
      </c>
      <c r="F66" s="44">
        <v>0.33162645209035901</v>
      </c>
      <c r="G66" s="44">
        <v>-1.7265609443282399</v>
      </c>
      <c r="H66" s="44">
        <v>0.19436116346423599</v>
      </c>
      <c r="I66" s="44">
        <v>1.70815100447513</v>
      </c>
      <c r="J66" s="75">
        <f t="shared" si="0"/>
        <v>1.8768910167128072E-2</v>
      </c>
      <c r="K66" s="75">
        <f t="shared" si="1"/>
        <v>1.5644481119070999</v>
      </c>
      <c r="L66" s="44">
        <f t="shared" si="2"/>
        <v>51.068253375998466</v>
      </c>
      <c r="M66" s="65">
        <f t="shared" si="3"/>
        <v>5.9106774740738969E-4</v>
      </c>
    </row>
    <row r="67" spans="1:13" x14ac:dyDescent="0.25">
      <c r="A67">
        <v>81.55</v>
      </c>
      <c r="B67">
        <v>18.45</v>
      </c>
      <c r="C67">
        <v>0</v>
      </c>
      <c r="D67">
        <v>1.62</v>
      </c>
      <c r="E67" s="44">
        <v>4.6165813624650602E-2</v>
      </c>
      <c r="F67" s="44">
        <v>0.33704758080608599</v>
      </c>
      <c r="G67" s="44">
        <v>-1.5651127532923299</v>
      </c>
      <c r="H67" s="44">
        <v>0.277069469580213</v>
      </c>
      <c r="I67" s="44">
        <v>2.1353625940872201</v>
      </c>
      <c r="J67" s="75">
        <f t="shared" si="0"/>
        <v>2.7219945210905021E-2</v>
      </c>
      <c r="K67" s="75">
        <f t="shared" si="1"/>
        <v>1.892646341421838</v>
      </c>
      <c r="L67" s="44">
        <f t="shared" si="2"/>
        <v>136.57229078867118</v>
      </c>
      <c r="M67" s="65">
        <f t="shared" si="3"/>
        <v>1.5806978100540647E-3</v>
      </c>
    </row>
    <row r="68" spans="1:13" x14ac:dyDescent="0.25">
      <c r="A68">
        <v>47.39</v>
      </c>
      <c r="B68">
        <v>40.97</v>
      </c>
      <c r="C68">
        <v>11.64</v>
      </c>
      <c r="D68">
        <v>1.62</v>
      </c>
      <c r="E68" s="44">
        <v>6.5651368911026797E-2</v>
      </c>
      <c r="F68" s="44">
        <v>0.34371378902990801</v>
      </c>
      <c r="G68" s="44">
        <v>-1.97793013130993</v>
      </c>
      <c r="H68" s="44">
        <v>0.14733451121319499</v>
      </c>
      <c r="I68" s="44">
        <v>1.10997597763078</v>
      </c>
      <c r="J68" s="75">
        <f t="shared" ref="J68:J131" si="4">10^G68</f>
        <v>1.052131125595307E-2</v>
      </c>
      <c r="K68" s="75">
        <f t="shared" ref="K68:K131" si="5">10^H68</f>
        <v>1.4038946247682167</v>
      </c>
      <c r="L68" s="44">
        <f t="shared" ref="L68:L131" si="6">10^I68</f>
        <v>12.881782960088128</v>
      </c>
      <c r="M68" s="65">
        <f t="shared" ref="M68:M131" si="7">L68/(24*60*60)</f>
        <v>1.4909471018620518E-4</v>
      </c>
    </row>
    <row r="69" spans="1:13" x14ac:dyDescent="0.25">
      <c r="A69">
        <v>52.38</v>
      </c>
      <c r="B69">
        <v>39.46</v>
      </c>
      <c r="C69">
        <v>8.16</v>
      </c>
      <c r="D69">
        <v>1.62</v>
      </c>
      <c r="E69" s="44">
        <v>5.9460615302401702E-2</v>
      </c>
      <c r="F69" s="44">
        <v>0.33995457425092401</v>
      </c>
      <c r="G69" s="44">
        <v>-1.91078078483282</v>
      </c>
      <c r="H69" s="44">
        <v>0.15539451157460701</v>
      </c>
      <c r="I69" s="44">
        <v>1.2686536173813101</v>
      </c>
      <c r="J69" s="75">
        <f t="shared" si="4"/>
        <v>1.228058951711705E-2</v>
      </c>
      <c r="K69" s="75">
        <f t="shared" si="5"/>
        <v>1.4301925504689017</v>
      </c>
      <c r="L69" s="44">
        <f t="shared" si="6"/>
        <v>18.563233066018451</v>
      </c>
      <c r="M69" s="65">
        <f t="shared" si="7"/>
        <v>2.1485223456039874E-4</v>
      </c>
    </row>
    <row r="70" spans="1:13" x14ac:dyDescent="0.25">
      <c r="A70">
        <v>67.59</v>
      </c>
      <c r="B70">
        <v>32.409999999999997</v>
      </c>
      <c r="C70">
        <v>0</v>
      </c>
      <c r="D70">
        <v>1.62</v>
      </c>
      <c r="E70" s="44">
        <v>4.6959252573467503E-2</v>
      </c>
      <c r="F70" s="44">
        <v>0.33198127926799398</v>
      </c>
      <c r="G70" s="44">
        <v>-1.7104558599508499</v>
      </c>
      <c r="H70" s="44">
        <v>0.19789573981993899</v>
      </c>
      <c r="I70" s="44">
        <v>1.7329334808700301</v>
      </c>
      <c r="J70" s="75">
        <f t="shared" si="4"/>
        <v>1.9477990068092251E-2</v>
      </c>
      <c r="K70" s="75">
        <f t="shared" si="5"/>
        <v>1.5772325812746815</v>
      </c>
      <c r="L70" s="44">
        <f t="shared" si="6"/>
        <v>54.067150413484164</v>
      </c>
      <c r="M70" s="65">
        <f t="shared" si="7"/>
        <v>6.2577720385977042E-4</v>
      </c>
    </row>
    <row r="71" spans="1:13" x14ac:dyDescent="0.25">
      <c r="A71">
        <v>39.729999999999997</v>
      </c>
      <c r="B71">
        <v>55.31</v>
      </c>
      <c r="C71">
        <v>4.95</v>
      </c>
      <c r="D71">
        <v>1.62</v>
      </c>
      <c r="E71" s="44">
        <v>5.5126587093474302E-2</v>
      </c>
      <c r="F71" s="44">
        <v>0.33766584181623799</v>
      </c>
      <c r="G71" s="44">
        <v>-2.0722531814529601</v>
      </c>
      <c r="H71" s="44">
        <v>0.17110120369757001</v>
      </c>
      <c r="I71" s="44">
        <v>1.3119542930444299</v>
      </c>
      <c r="J71" s="75">
        <f t="shared" si="4"/>
        <v>8.4673364835633515E-3</v>
      </c>
      <c r="K71" s="75">
        <f t="shared" si="5"/>
        <v>1.4828635967769601</v>
      </c>
      <c r="L71" s="44">
        <f t="shared" si="6"/>
        <v>20.509463173555055</v>
      </c>
      <c r="M71" s="65">
        <f t="shared" si="7"/>
        <v>2.3737804599022053E-4</v>
      </c>
    </row>
    <row r="72" spans="1:13" x14ac:dyDescent="0.25">
      <c r="A72">
        <v>69.44</v>
      </c>
      <c r="B72">
        <v>30.56</v>
      </c>
      <c r="C72">
        <v>0</v>
      </c>
      <c r="D72">
        <v>1.62</v>
      </c>
      <c r="E72" s="44">
        <v>4.6867391993517603E-2</v>
      </c>
      <c r="F72" s="44">
        <v>0.33249540596167199</v>
      </c>
      <c r="G72" s="44">
        <v>-1.6900074644262</v>
      </c>
      <c r="H72" s="44">
        <v>0.20333185008815</v>
      </c>
      <c r="I72" s="44">
        <v>1.7686022566250601</v>
      </c>
      <c r="J72" s="75">
        <f t="shared" si="4"/>
        <v>2.0417028526481664E-2</v>
      </c>
      <c r="K72" s="75">
        <f t="shared" si="5"/>
        <v>1.5970990453557166</v>
      </c>
      <c r="L72" s="44">
        <f t="shared" si="6"/>
        <v>58.69515537819705</v>
      </c>
      <c r="M72" s="65">
        <f t="shared" si="7"/>
        <v>6.7934207613653999E-4</v>
      </c>
    </row>
    <row r="73" spans="1:13" x14ac:dyDescent="0.25">
      <c r="A73">
        <v>33.47</v>
      </c>
      <c r="B73">
        <v>60.71</v>
      </c>
      <c r="C73">
        <v>5.82</v>
      </c>
      <c r="D73">
        <v>1.62</v>
      </c>
      <c r="E73" s="44">
        <v>5.69738464412421E-2</v>
      </c>
      <c r="F73" s="44">
        <v>0.342160745634565</v>
      </c>
      <c r="G73" s="44">
        <v>-2.14528081419521</v>
      </c>
      <c r="H73" s="44">
        <v>0.17393010147845001</v>
      </c>
      <c r="I73" s="44">
        <v>1.2774286583047201</v>
      </c>
      <c r="J73" s="75">
        <f t="shared" si="4"/>
        <v>7.1568050257476944E-3</v>
      </c>
      <c r="K73" s="75">
        <f t="shared" si="5"/>
        <v>1.4925541676923186</v>
      </c>
      <c r="L73" s="44">
        <f t="shared" si="6"/>
        <v>18.942123259251613</v>
      </c>
      <c r="M73" s="65">
        <f t="shared" si="7"/>
        <v>2.1923753772281959E-4</v>
      </c>
    </row>
    <row r="74" spans="1:13" x14ac:dyDescent="0.25">
      <c r="A74">
        <v>71.02</v>
      </c>
      <c r="B74">
        <v>28.98</v>
      </c>
      <c r="C74">
        <v>0</v>
      </c>
      <c r="D74">
        <v>1.62</v>
      </c>
      <c r="E74" s="44">
        <v>4.6785416020493797E-2</v>
      </c>
      <c r="F74" s="44">
        <v>0.33298170324132198</v>
      </c>
      <c r="G74" s="44">
        <v>-1.6728707909067999</v>
      </c>
      <c r="H74" s="44">
        <v>0.208848907579951</v>
      </c>
      <c r="I74" s="44">
        <v>1.8025915920968401</v>
      </c>
      <c r="J74" s="75">
        <f t="shared" si="4"/>
        <v>2.1238762529106538E-2</v>
      </c>
      <c r="K74" s="75">
        <f t="shared" si="5"/>
        <v>1.6175172004065355</v>
      </c>
      <c r="L74" s="44">
        <f t="shared" si="6"/>
        <v>63.473375132387496</v>
      </c>
      <c r="M74" s="65">
        <f t="shared" si="7"/>
        <v>7.3464554551374412E-4</v>
      </c>
    </row>
    <row r="75" spans="1:13" x14ac:dyDescent="0.25">
      <c r="A75">
        <v>86.68</v>
      </c>
      <c r="B75">
        <v>13.32</v>
      </c>
      <c r="C75">
        <v>0</v>
      </c>
      <c r="D75">
        <v>1.62</v>
      </c>
      <c r="E75" s="44">
        <v>4.5876407199795299E-2</v>
      </c>
      <c r="F75" s="44">
        <v>0.33917116997288899</v>
      </c>
      <c r="G75" s="44">
        <v>-1.5159584502227701</v>
      </c>
      <c r="H75" s="44">
        <v>0.34360001653780098</v>
      </c>
      <c r="I75" s="44">
        <v>2.3806002988655002</v>
      </c>
      <c r="J75" s="75">
        <f t="shared" si="4"/>
        <v>3.0481866014748359E-2</v>
      </c>
      <c r="K75" s="75">
        <f t="shared" si="5"/>
        <v>2.2059721057500683</v>
      </c>
      <c r="L75" s="44">
        <f t="shared" si="6"/>
        <v>240.21509726037021</v>
      </c>
      <c r="M75" s="65">
        <f t="shared" si="7"/>
        <v>2.7802673294024332E-3</v>
      </c>
    </row>
    <row r="76" spans="1:13" x14ac:dyDescent="0.25">
      <c r="A76">
        <v>79.97</v>
      </c>
      <c r="B76">
        <v>20.03</v>
      </c>
      <c r="C76">
        <v>0</v>
      </c>
      <c r="D76">
        <v>1.62</v>
      </c>
      <c r="E76" s="44">
        <v>4.6262392924404497E-2</v>
      </c>
      <c r="F76" s="44">
        <v>0.33638227223822298</v>
      </c>
      <c r="G76" s="44">
        <v>-1.5806648400080701</v>
      </c>
      <c r="H76" s="44">
        <v>0.26208946117460702</v>
      </c>
      <c r="I76" s="44">
        <v>2.0716219991827698</v>
      </c>
      <c r="J76" s="75">
        <f t="shared" si="4"/>
        <v>2.6262445247698149E-2</v>
      </c>
      <c r="K76" s="75">
        <f t="shared" si="5"/>
        <v>1.8284768288905024</v>
      </c>
      <c r="L76" s="44">
        <f t="shared" si="6"/>
        <v>117.92937562538255</v>
      </c>
      <c r="M76" s="65">
        <f t="shared" si="7"/>
        <v>1.3649233289974832E-3</v>
      </c>
    </row>
    <row r="77" spans="1:13" x14ac:dyDescent="0.25">
      <c r="A77">
        <v>38.1</v>
      </c>
      <c r="B77">
        <v>61.9</v>
      </c>
      <c r="C77">
        <v>0</v>
      </c>
      <c r="D77">
        <v>1.62</v>
      </c>
      <c r="E77" s="44">
        <v>4.8939380205728897E-2</v>
      </c>
      <c r="F77" s="44">
        <v>0.33542330073617599</v>
      </c>
      <c r="G77" s="44">
        <v>-2.0827298066456099</v>
      </c>
      <c r="H77" s="44">
        <v>0.18946596208748001</v>
      </c>
      <c r="I77" s="44">
        <v>1.5201187400035701</v>
      </c>
      <c r="J77" s="75">
        <f t="shared" si="4"/>
        <v>8.2655202335939638E-3</v>
      </c>
      <c r="K77" s="75">
        <f t="shared" si="5"/>
        <v>1.5469132595761281</v>
      </c>
      <c r="L77" s="44">
        <f t="shared" si="6"/>
        <v>33.122166807641655</v>
      </c>
      <c r="M77" s="65">
        <f t="shared" si="7"/>
        <v>3.8335841212548211E-4</v>
      </c>
    </row>
    <row r="78" spans="1:13" x14ac:dyDescent="0.25">
      <c r="A78">
        <v>74.19</v>
      </c>
      <c r="B78">
        <v>25.81</v>
      </c>
      <c r="C78">
        <v>0</v>
      </c>
      <c r="D78">
        <v>1.62</v>
      </c>
      <c r="E78" s="44">
        <v>4.6610453392750502E-2</v>
      </c>
      <c r="F78" s="44">
        <v>0.33407708958040599</v>
      </c>
      <c r="G78" s="44">
        <v>-1.63932866242762</v>
      </c>
      <c r="H78" s="44">
        <v>0.22283187982922201</v>
      </c>
      <c r="I78" s="44">
        <v>1.8818237753726501</v>
      </c>
      <c r="J78" s="75">
        <f t="shared" si="4"/>
        <v>2.2944116416802714E-2</v>
      </c>
      <c r="K78" s="75">
        <f t="shared" si="5"/>
        <v>1.6704438419478982</v>
      </c>
      <c r="L78" s="44">
        <f t="shared" si="6"/>
        <v>76.17698422790555</v>
      </c>
      <c r="M78" s="65">
        <f t="shared" si="7"/>
        <v>8.8167805819335129E-4</v>
      </c>
    </row>
    <row r="79" spans="1:13" x14ac:dyDescent="0.25">
      <c r="A79">
        <v>78.78</v>
      </c>
      <c r="B79">
        <v>21.22</v>
      </c>
      <c r="C79">
        <v>0</v>
      </c>
      <c r="D79">
        <v>1.62</v>
      </c>
      <c r="E79" s="44">
        <v>4.6335659718323603E-2</v>
      </c>
      <c r="F79" s="44">
        <v>0.33588606159544998</v>
      </c>
      <c r="G79" s="44">
        <v>-1.5925075232394701</v>
      </c>
      <c r="H79" s="44">
        <v>0.25218213216872498</v>
      </c>
      <c r="I79" s="44">
        <v>2.0271696389014102</v>
      </c>
      <c r="J79" s="75">
        <f t="shared" si="4"/>
        <v>2.5555976303209153E-2</v>
      </c>
      <c r="K79" s="75">
        <f t="shared" si="5"/>
        <v>1.7872369398726473</v>
      </c>
      <c r="L79" s="44">
        <f t="shared" si="6"/>
        <v>106.4558762197492</v>
      </c>
      <c r="M79" s="65">
        <f t="shared" si="7"/>
        <v>1.232128196987838E-3</v>
      </c>
    </row>
    <row r="80" spans="1:13" x14ac:dyDescent="0.25">
      <c r="A80">
        <v>70.709999999999994</v>
      </c>
      <c r="B80">
        <v>29.29</v>
      </c>
      <c r="C80">
        <v>0</v>
      </c>
      <c r="D80">
        <v>1.62</v>
      </c>
      <c r="E80" s="44">
        <v>4.6801768789450297E-2</v>
      </c>
      <c r="F80" s="44">
        <v>0.33288298051162601</v>
      </c>
      <c r="G80" s="44">
        <v>-1.6762101168021799</v>
      </c>
      <c r="H80" s="44">
        <v>0.207697502305911</v>
      </c>
      <c r="I80" s="44">
        <v>1.7956517825113101</v>
      </c>
      <c r="J80" s="75">
        <f t="shared" si="4"/>
        <v>2.107608217465359E-2</v>
      </c>
      <c r="K80" s="75">
        <f t="shared" si="5"/>
        <v>1.6132345045304879</v>
      </c>
      <c r="L80" s="44">
        <f t="shared" si="6"/>
        <v>62.467162996446326</v>
      </c>
      <c r="M80" s="65">
        <f t="shared" si="7"/>
        <v>7.2299957171812878E-4</v>
      </c>
    </row>
    <row r="81" spans="1:13" x14ac:dyDescent="0.25">
      <c r="A81">
        <v>79.23</v>
      </c>
      <c r="B81">
        <v>20.77</v>
      </c>
      <c r="C81">
        <v>0</v>
      </c>
      <c r="D81">
        <v>1.62</v>
      </c>
      <c r="E81" s="44">
        <v>4.63079571396387E-2</v>
      </c>
      <c r="F81" s="44">
        <v>0.33607292724877702</v>
      </c>
      <c r="G81" s="44">
        <v>-1.5880158063884799</v>
      </c>
      <c r="H81" s="44">
        <v>0.25579937247865198</v>
      </c>
      <c r="I81" s="44">
        <v>2.0436290721317798</v>
      </c>
      <c r="J81" s="75">
        <f t="shared" si="4"/>
        <v>2.5821662095533823E-2</v>
      </c>
      <c r="K81" s="75">
        <f t="shared" si="5"/>
        <v>1.8021850076466615</v>
      </c>
      <c r="L81" s="44">
        <f t="shared" si="6"/>
        <v>110.56790278845418</v>
      </c>
      <c r="M81" s="65">
        <f t="shared" si="7"/>
        <v>1.2797210970885899E-3</v>
      </c>
    </row>
    <row r="82" spans="1:13" x14ac:dyDescent="0.25">
      <c r="A82">
        <v>83.28</v>
      </c>
      <c r="B82">
        <v>16.72</v>
      </c>
      <c r="C82">
        <v>0</v>
      </c>
      <c r="D82">
        <v>1.62</v>
      </c>
      <c r="E82" s="44">
        <v>4.6062937225942201E-2</v>
      </c>
      <c r="F82" s="44">
        <v>0.337775097133441</v>
      </c>
      <c r="G82" s="44">
        <v>-1.54830158313695</v>
      </c>
      <c r="H82" s="44">
        <v>0.29620211857587297</v>
      </c>
      <c r="I82" s="44">
        <v>2.2115565997062299</v>
      </c>
      <c r="J82" s="75">
        <f t="shared" si="4"/>
        <v>2.8294265007235482E-2</v>
      </c>
      <c r="K82" s="75">
        <f t="shared" si="5"/>
        <v>1.9778899264639267</v>
      </c>
      <c r="L82" s="44">
        <f t="shared" si="6"/>
        <v>162.76334241877643</v>
      </c>
      <c r="M82" s="65">
        <f t="shared" si="7"/>
        <v>1.8838349816988013E-3</v>
      </c>
    </row>
    <row r="83" spans="1:13" x14ac:dyDescent="0.25">
      <c r="A83">
        <v>96.19</v>
      </c>
      <c r="B83">
        <v>3.81</v>
      </c>
      <c r="C83">
        <v>0</v>
      </c>
      <c r="D83">
        <v>1.62</v>
      </c>
      <c r="E83" s="44">
        <v>4.5419741123518299E-2</v>
      </c>
      <c r="F83" s="44">
        <v>0.34304573983173298</v>
      </c>
      <c r="G83" s="44">
        <v>-1.43486375039653</v>
      </c>
      <c r="H83" s="44">
        <v>0.54526458707236503</v>
      </c>
      <c r="I83" s="44">
        <v>2.9326593549400499</v>
      </c>
      <c r="J83" s="75">
        <f t="shared" si="4"/>
        <v>3.6739754469405625E-2</v>
      </c>
      <c r="K83" s="75">
        <f t="shared" si="5"/>
        <v>3.5096562911382088</v>
      </c>
      <c r="L83" s="44">
        <f t="shared" si="6"/>
        <v>856.36587896238427</v>
      </c>
      <c r="M83" s="65">
        <f t="shared" si="7"/>
        <v>9.9116421176201879E-3</v>
      </c>
    </row>
    <row r="84" spans="1:13" x14ac:dyDescent="0.25">
      <c r="A84">
        <v>52.77</v>
      </c>
      <c r="B84">
        <v>47.23</v>
      </c>
      <c r="C84">
        <v>0</v>
      </c>
      <c r="D84">
        <v>1.62</v>
      </c>
      <c r="E84" s="44">
        <v>4.7645763403350597E-2</v>
      </c>
      <c r="F84" s="44">
        <v>0.33017189524323998</v>
      </c>
      <c r="G84" s="44">
        <v>-1.8925257467701899</v>
      </c>
      <c r="H84" s="44">
        <v>0.181097784396832</v>
      </c>
      <c r="I84" s="44">
        <v>1.5612850120641799</v>
      </c>
      <c r="J84" s="75">
        <f t="shared" si="4"/>
        <v>1.2807791624081339E-2</v>
      </c>
      <c r="K84" s="75">
        <f t="shared" si="5"/>
        <v>1.5173919802656288</v>
      </c>
      <c r="L84" s="44">
        <f t="shared" si="6"/>
        <v>36.415393904064175</v>
      </c>
      <c r="M84" s="65">
        <f t="shared" si="7"/>
        <v>4.2147446648222424E-4</v>
      </c>
    </row>
    <row r="85" spans="1:13" x14ac:dyDescent="0.25">
      <c r="A85">
        <v>66.05</v>
      </c>
      <c r="B85">
        <v>33.950000000000003</v>
      </c>
      <c r="C85">
        <v>0</v>
      </c>
      <c r="D85">
        <v>1.62</v>
      </c>
      <c r="E85" s="44">
        <v>4.7032676878473199E-2</v>
      </c>
      <c r="F85" s="44">
        <v>0.33160072597291002</v>
      </c>
      <c r="G85" s="44">
        <v>-1.72781099983603</v>
      </c>
      <c r="H85" s="44">
        <v>0.19411140926297199</v>
      </c>
      <c r="I85" s="44">
        <v>1.70633905520167</v>
      </c>
      <c r="J85" s="75">
        <f t="shared" si="4"/>
        <v>1.8714964177506139E-2</v>
      </c>
      <c r="K85" s="75">
        <f t="shared" si="5"/>
        <v>1.5635486872618929</v>
      </c>
      <c r="L85" s="44">
        <f t="shared" si="6"/>
        <v>50.855631929343637</v>
      </c>
      <c r="M85" s="65">
        <f t="shared" si="7"/>
        <v>5.8860685103406991E-4</v>
      </c>
    </row>
    <row r="86" spans="1:13" x14ac:dyDescent="0.25">
      <c r="A86">
        <v>76.75</v>
      </c>
      <c r="B86">
        <v>23.25</v>
      </c>
      <c r="C86">
        <v>0</v>
      </c>
      <c r="D86">
        <v>1.62</v>
      </c>
      <c r="E86" s="44">
        <v>4.6459552158662501E-2</v>
      </c>
      <c r="F86" s="44">
        <v>0.33506038745380101</v>
      </c>
      <c r="G86" s="44">
        <v>-1.61298103866505</v>
      </c>
      <c r="H86" s="44">
        <v>0.23763399514699199</v>
      </c>
      <c r="I86" s="44">
        <v>1.95800342095322</v>
      </c>
      <c r="J86" s="75">
        <f t="shared" si="4"/>
        <v>2.4379172557251721E-2</v>
      </c>
      <c r="K86" s="75">
        <f t="shared" si="5"/>
        <v>1.7283591579384796</v>
      </c>
      <c r="L86" s="44">
        <f t="shared" si="6"/>
        <v>90.782768114124664</v>
      </c>
      <c r="M86" s="65">
        <f t="shared" si="7"/>
        <v>1.0507264828023687E-3</v>
      </c>
    </row>
    <row r="87" spans="1:13" x14ac:dyDescent="0.25">
      <c r="A87">
        <v>43</v>
      </c>
      <c r="B87">
        <v>50.64</v>
      </c>
      <c r="C87">
        <v>6.36</v>
      </c>
      <c r="D87">
        <v>1.62</v>
      </c>
      <c r="E87" s="44">
        <v>5.6969837557339198E-2</v>
      </c>
      <c r="F87" s="44">
        <v>0.337681621656724</v>
      </c>
      <c r="G87" s="44">
        <v>-2.0327993991916702</v>
      </c>
      <c r="H87" s="44">
        <v>0.164305706027779</v>
      </c>
      <c r="I87" s="44">
        <v>1.2647634357715101</v>
      </c>
      <c r="J87" s="75">
        <f t="shared" si="4"/>
        <v>9.2725802535986775E-3</v>
      </c>
      <c r="K87" s="75">
        <f t="shared" si="5"/>
        <v>1.4598415017667852</v>
      </c>
      <c r="L87" s="44">
        <f t="shared" si="6"/>
        <v>18.397695889395408</v>
      </c>
      <c r="M87" s="65">
        <f t="shared" si="7"/>
        <v>2.1293629501615056E-4</v>
      </c>
    </row>
    <row r="88" spans="1:13" x14ac:dyDescent="0.25">
      <c r="A88">
        <v>54.95</v>
      </c>
      <c r="B88">
        <v>39.049999999999997</v>
      </c>
      <c r="C88">
        <v>6</v>
      </c>
      <c r="D88">
        <v>1.62</v>
      </c>
      <c r="E88" s="44">
        <v>5.5931448305735799E-2</v>
      </c>
      <c r="F88" s="44">
        <v>0.33752037456534301</v>
      </c>
      <c r="G88" s="44">
        <v>-1.8753279378819701</v>
      </c>
      <c r="H88" s="44">
        <v>0.16176656267838799</v>
      </c>
      <c r="I88" s="44">
        <v>1.36505829135333</v>
      </c>
      <c r="J88" s="75">
        <f t="shared" si="4"/>
        <v>1.332514863704581E-2</v>
      </c>
      <c r="K88" s="75">
        <f t="shared" si="5"/>
        <v>1.4513313038249018</v>
      </c>
      <c r="L88" s="44">
        <f t="shared" si="6"/>
        <v>23.177057134102849</v>
      </c>
      <c r="M88" s="65">
        <f t="shared" si="7"/>
        <v>2.6825297608915337E-4</v>
      </c>
    </row>
    <row r="89" spans="1:13" x14ac:dyDescent="0.25">
      <c r="A89">
        <v>58.22</v>
      </c>
      <c r="B89">
        <v>41.78</v>
      </c>
      <c r="C89">
        <v>0</v>
      </c>
      <c r="D89">
        <v>1.62</v>
      </c>
      <c r="E89" s="44">
        <v>4.7380938169796903E-2</v>
      </c>
      <c r="F89" s="44">
        <v>0.33035151007854802</v>
      </c>
      <c r="G89" s="44">
        <v>-1.82137812716278</v>
      </c>
      <c r="H89" s="44">
        <v>0.18295099334620599</v>
      </c>
      <c r="I89" s="44">
        <v>1.60614861893949</v>
      </c>
      <c r="J89" s="75">
        <f t="shared" si="4"/>
        <v>1.5087659449285093E-2</v>
      </c>
      <c r="K89" s="75">
        <f t="shared" si="5"/>
        <v>1.5238807863537076</v>
      </c>
      <c r="L89" s="44">
        <f t="shared" si="6"/>
        <v>40.378354718856443</v>
      </c>
      <c r="M89" s="65">
        <f t="shared" si="7"/>
        <v>4.6734206850528292E-4</v>
      </c>
    </row>
    <row r="90" spans="1:13" x14ac:dyDescent="0.25">
      <c r="A90">
        <v>46.07</v>
      </c>
      <c r="B90">
        <v>49.46</v>
      </c>
      <c r="C90">
        <v>4.47</v>
      </c>
      <c r="D90">
        <v>1.62</v>
      </c>
      <c r="E90" s="44">
        <v>5.39763085724582E-2</v>
      </c>
      <c r="F90" s="44">
        <v>0.33520812810166201</v>
      </c>
      <c r="G90" s="44">
        <v>-1.99059742054211</v>
      </c>
      <c r="H90" s="44">
        <v>0.16815183674718301</v>
      </c>
      <c r="I90" s="44">
        <v>1.3501231076644999</v>
      </c>
      <c r="J90" s="75">
        <f t="shared" si="4"/>
        <v>1.0218863062836944E-2</v>
      </c>
      <c r="K90" s="75">
        <f t="shared" si="5"/>
        <v>1.4728273379503707</v>
      </c>
      <c r="L90" s="44">
        <f t="shared" si="6"/>
        <v>22.393558295629049</v>
      </c>
      <c r="M90" s="65">
        <f t="shared" si="7"/>
        <v>2.591847024957066E-4</v>
      </c>
    </row>
    <row r="91" spans="1:13" x14ac:dyDescent="0.25">
      <c r="A91">
        <v>81.540000000000006</v>
      </c>
      <c r="B91">
        <v>18.46</v>
      </c>
      <c r="C91">
        <v>0</v>
      </c>
      <c r="D91">
        <v>1.62</v>
      </c>
      <c r="E91" s="44">
        <v>4.6166419086930199E-2</v>
      </c>
      <c r="F91" s="44">
        <v>0.33704336288745801</v>
      </c>
      <c r="G91" s="44">
        <v>-1.56521058304565</v>
      </c>
      <c r="H91" s="44">
        <v>0.276967545633856</v>
      </c>
      <c r="I91" s="44">
        <v>2.13494179987859</v>
      </c>
      <c r="J91" s="75">
        <f t="shared" si="4"/>
        <v>2.7213814300353946E-2</v>
      </c>
      <c r="K91" s="75">
        <f t="shared" si="5"/>
        <v>1.8922022110965171</v>
      </c>
      <c r="L91" s="44">
        <f t="shared" si="6"/>
        <v>136.44002800566011</v>
      </c>
      <c r="M91" s="65">
        <f t="shared" si="7"/>
        <v>1.5791669908062512E-3</v>
      </c>
    </row>
    <row r="92" spans="1:13" x14ac:dyDescent="0.25">
      <c r="A92">
        <v>53.04</v>
      </c>
      <c r="B92">
        <v>46.96</v>
      </c>
      <c r="C92">
        <v>0</v>
      </c>
      <c r="D92">
        <v>1.62</v>
      </c>
      <c r="E92" s="44">
        <v>4.7631027820768099E-2</v>
      </c>
      <c r="F92" s="44">
        <v>0.33016556266221397</v>
      </c>
      <c r="G92" s="44">
        <v>-1.8888819688451699</v>
      </c>
      <c r="H92" s="44">
        <v>0.18110105204649901</v>
      </c>
      <c r="I92" s="44">
        <v>1.5631594750596001</v>
      </c>
      <c r="J92" s="75">
        <f t="shared" si="4"/>
        <v>1.2915702447176563E-2</v>
      </c>
      <c r="K92" s="75">
        <f t="shared" si="5"/>
        <v>1.517403397228678</v>
      </c>
      <c r="L92" s="44">
        <f t="shared" si="6"/>
        <v>36.572906446148465</v>
      </c>
      <c r="M92" s="65">
        <f t="shared" si="7"/>
        <v>4.2329752831190355E-4</v>
      </c>
    </row>
    <row r="93" spans="1:13" x14ac:dyDescent="0.25">
      <c r="A93">
        <v>55.59</v>
      </c>
      <c r="B93">
        <v>44.41</v>
      </c>
      <c r="C93">
        <v>0</v>
      </c>
      <c r="D93">
        <v>1.62</v>
      </c>
      <c r="E93" s="44">
        <v>4.75014578520127E-2</v>
      </c>
      <c r="F93" s="44">
        <v>0.33018865790963497</v>
      </c>
      <c r="G93" s="44">
        <v>-1.85507269056987</v>
      </c>
      <c r="H93" s="44">
        <v>0.18156526445333199</v>
      </c>
      <c r="I93" s="44">
        <v>1.58254652397258</v>
      </c>
      <c r="J93" s="75">
        <f t="shared" si="4"/>
        <v>1.3961346617527272E-2</v>
      </c>
      <c r="K93" s="75">
        <f t="shared" si="5"/>
        <v>1.5190261995158529</v>
      </c>
      <c r="L93" s="44">
        <f t="shared" si="6"/>
        <v>38.242521892060154</v>
      </c>
      <c r="M93" s="65">
        <f t="shared" si="7"/>
        <v>4.4262178115810362E-4</v>
      </c>
    </row>
    <row r="94" spans="1:13" x14ac:dyDescent="0.25">
      <c r="A94">
        <v>65.66</v>
      </c>
      <c r="B94">
        <v>34.340000000000003</v>
      </c>
      <c r="C94">
        <v>0</v>
      </c>
      <c r="D94">
        <v>1.62</v>
      </c>
      <c r="E94" s="44">
        <v>4.7050878472778203E-2</v>
      </c>
      <c r="F94" s="44">
        <v>0.33151133432636098</v>
      </c>
      <c r="G94" s="44">
        <v>-1.73225618449306</v>
      </c>
      <c r="H94" s="44">
        <v>0.193250234084896</v>
      </c>
      <c r="I94" s="44">
        <v>1.70001953920902</v>
      </c>
      <c r="J94" s="75">
        <f t="shared" si="4"/>
        <v>1.8524385723769375E-2</v>
      </c>
      <c r="K94" s="75">
        <f t="shared" si="5"/>
        <v>1.5604513529397834</v>
      </c>
      <c r="L94" s="44">
        <f t="shared" si="6"/>
        <v>50.120978289469321</v>
      </c>
      <c r="M94" s="65">
        <f t="shared" si="7"/>
        <v>5.8010391538737636E-4</v>
      </c>
    </row>
    <row r="95" spans="1:13" x14ac:dyDescent="0.25">
      <c r="A95">
        <v>87.01</v>
      </c>
      <c r="B95">
        <v>12.99</v>
      </c>
      <c r="C95">
        <v>0</v>
      </c>
      <c r="D95">
        <v>1.62</v>
      </c>
      <c r="E95" s="44">
        <v>4.5859520093680099E-2</v>
      </c>
      <c r="F95" s="44">
        <v>0.33930385325094198</v>
      </c>
      <c r="G95" s="44">
        <v>-1.51287908330095</v>
      </c>
      <c r="H95" s="44">
        <v>0.34894885334346798</v>
      </c>
      <c r="I95" s="44">
        <v>2.3982465883212001</v>
      </c>
      <c r="J95" s="75">
        <f t="shared" si="4"/>
        <v>3.0698765874912305E-2</v>
      </c>
      <c r="K95" s="75">
        <f t="shared" si="5"/>
        <v>2.2333091915709513</v>
      </c>
      <c r="L95" s="44">
        <f t="shared" si="6"/>
        <v>250.17654373854671</v>
      </c>
      <c r="M95" s="65">
        <f t="shared" si="7"/>
        <v>2.8955618488257723E-3</v>
      </c>
    </row>
    <row r="96" spans="1:13" x14ac:dyDescent="0.25">
      <c r="A96">
        <v>85.71</v>
      </c>
      <c r="B96">
        <v>14.29</v>
      </c>
      <c r="C96">
        <v>0</v>
      </c>
      <c r="D96">
        <v>1.62</v>
      </c>
      <c r="E96" s="44">
        <v>4.5927233130375299E-2</v>
      </c>
      <c r="F96" s="44">
        <v>0.33877853887175102</v>
      </c>
      <c r="G96" s="44">
        <v>-1.5250799325342701</v>
      </c>
      <c r="H96" s="44">
        <v>0.32865685517626397</v>
      </c>
      <c r="I96" s="44">
        <v>2.3299053398180498</v>
      </c>
      <c r="J96" s="75">
        <f t="shared" si="4"/>
        <v>2.9848332054444766E-2</v>
      </c>
      <c r="K96" s="75">
        <f t="shared" si="5"/>
        <v>2.131360217011149</v>
      </c>
      <c r="L96" s="44">
        <f t="shared" si="6"/>
        <v>213.74961433878937</v>
      </c>
      <c r="M96" s="65">
        <f t="shared" si="7"/>
        <v>2.4739538696619142E-3</v>
      </c>
    </row>
    <row r="97" spans="1:13" x14ac:dyDescent="0.25">
      <c r="A97">
        <v>45.72</v>
      </c>
      <c r="B97">
        <v>54.28</v>
      </c>
      <c r="C97">
        <v>0</v>
      </c>
      <c r="D97">
        <v>1.62</v>
      </c>
      <c r="E97" s="44">
        <v>4.8140422859555401E-2</v>
      </c>
      <c r="F97" s="44">
        <v>0.33134785269275502</v>
      </c>
      <c r="G97" s="44">
        <v>-1.98838817675696</v>
      </c>
      <c r="H97" s="44">
        <v>0.183504876761932</v>
      </c>
      <c r="I97" s="44">
        <v>1.5255973802284699</v>
      </c>
      <c r="J97" s="75">
        <f t="shared" si="4"/>
        <v>1.0270978573815412E-2</v>
      </c>
      <c r="K97" s="75">
        <f t="shared" si="5"/>
        <v>1.525825528449255</v>
      </c>
      <c r="L97" s="44">
        <f t="shared" si="6"/>
        <v>33.542650745108666</v>
      </c>
      <c r="M97" s="65">
        <f t="shared" si="7"/>
        <v>3.8822512436468366E-4</v>
      </c>
    </row>
    <row r="98" spans="1:13" x14ac:dyDescent="0.25">
      <c r="A98">
        <v>86.78</v>
      </c>
      <c r="B98">
        <v>13.22</v>
      </c>
      <c r="C98">
        <v>0</v>
      </c>
      <c r="D98">
        <v>1.62</v>
      </c>
      <c r="E98" s="44">
        <v>4.5871269515176498E-2</v>
      </c>
      <c r="F98" s="44">
        <v>0.33921141960387502</v>
      </c>
      <c r="G98" s="44">
        <v>-1.5150239287742699</v>
      </c>
      <c r="H98" s="44">
        <v>0.34520669265946102</v>
      </c>
      <c r="I98" s="44">
        <v>2.3859272767193098</v>
      </c>
      <c r="J98" s="75">
        <f t="shared" si="4"/>
        <v>3.0547527976900656E-2</v>
      </c>
      <c r="K98" s="75">
        <f t="shared" si="5"/>
        <v>2.2141482327779314</v>
      </c>
      <c r="L98" s="44">
        <f t="shared" si="6"/>
        <v>243.1796766859583</v>
      </c>
      <c r="M98" s="65">
        <f t="shared" si="7"/>
        <v>2.8145795912726656E-3</v>
      </c>
    </row>
    <row r="99" spans="1:13" x14ac:dyDescent="0.25">
      <c r="A99">
        <v>84.47</v>
      </c>
      <c r="B99">
        <v>15.53</v>
      </c>
      <c r="C99">
        <v>0</v>
      </c>
      <c r="D99">
        <v>1.62</v>
      </c>
      <c r="E99" s="44">
        <v>4.5995002612889503E-2</v>
      </c>
      <c r="F99" s="44">
        <v>0.33827000080382003</v>
      </c>
      <c r="G99" s="44">
        <v>-1.53686966980019</v>
      </c>
      <c r="H99" s="44">
        <v>0.31123039421798798</v>
      </c>
      <c r="I99" s="44">
        <v>2.26789490743869</v>
      </c>
      <c r="J99" s="75">
        <f t="shared" si="4"/>
        <v>2.9048942719147746E-2</v>
      </c>
      <c r="K99" s="75">
        <f t="shared" si="5"/>
        <v>2.0475305683137335</v>
      </c>
      <c r="L99" s="44">
        <f t="shared" si="6"/>
        <v>185.30831516349144</v>
      </c>
      <c r="M99" s="65">
        <f t="shared" si="7"/>
        <v>2.144772166244114E-3</v>
      </c>
    </row>
    <row r="100" spans="1:13" x14ac:dyDescent="0.25">
      <c r="A100">
        <v>65.09</v>
      </c>
      <c r="B100">
        <v>34.909999999999997</v>
      </c>
      <c r="C100">
        <v>0</v>
      </c>
      <c r="D100">
        <v>1.62</v>
      </c>
      <c r="E100" s="44">
        <v>4.7077220064696897E-2</v>
      </c>
      <c r="F100" s="44">
        <v>0.33138580527987999</v>
      </c>
      <c r="G100" s="44">
        <v>-1.7387903899939801</v>
      </c>
      <c r="H100" s="44">
        <v>0.19205813510146599</v>
      </c>
      <c r="I100" s="44">
        <v>1.6910709623846401</v>
      </c>
      <c r="J100" s="75">
        <f t="shared" si="4"/>
        <v>1.8247762087021217E-2</v>
      </c>
      <c r="K100" s="75">
        <f t="shared" si="5"/>
        <v>1.5561739286896368</v>
      </c>
      <c r="L100" s="44">
        <f t="shared" si="6"/>
        <v>49.098809554562862</v>
      </c>
      <c r="M100" s="65">
        <f t="shared" si="7"/>
        <v>5.6827325873336644E-4</v>
      </c>
    </row>
    <row r="101" spans="1:13" x14ac:dyDescent="0.25">
      <c r="A101">
        <v>84.4</v>
      </c>
      <c r="B101">
        <v>15.6</v>
      </c>
      <c r="C101">
        <v>0</v>
      </c>
      <c r="D101">
        <v>1.62</v>
      </c>
      <c r="E101" s="44">
        <v>4.5998922900179401E-2</v>
      </c>
      <c r="F101" s="44">
        <v>0.33824106492205502</v>
      </c>
      <c r="G101" s="44">
        <v>-1.5375390701834</v>
      </c>
      <c r="H101" s="44">
        <v>0.310301432972094</v>
      </c>
      <c r="I101" s="44">
        <v>2.2644933348571401</v>
      </c>
      <c r="J101" s="75">
        <f t="shared" si="4"/>
        <v>2.9004202581250228E-2</v>
      </c>
      <c r="K101" s="75">
        <f t="shared" si="5"/>
        <v>2.0431555559799022</v>
      </c>
      <c r="L101" s="44">
        <f t="shared" si="6"/>
        <v>183.8625736150596</v>
      </c>
      <c r="M101" s="65">
        <f t="shared" si="7"/>
        <v>2.1280390464705973E-3</v>
      </c>
    </row>
    <row r="102" spans="1:13" x14ac:dyDescent="0.25">
      <c r="A102">
        <v>59.47</v>
      </c>
      <c r="B102">
        <v>40.53</v>
      </c>
      <c r="C102">
        <v>0</v>
      </c>
      <c r="D102">
        <v>1.62</v>
      </c>
      <c r="E102" s="44">
        <v>4.7326016531485098E-2</v>
      </c>
      <c r="F102" s="44">
        <v>0.33047442971747798</v>
      </c>
      <c r="G102" s="44">
        <v>-1.8057854515315199</v>
      </c>
      <c r="H102" s="44">
        <v>0.18397315801882899</v>
      </c>
      <c r="I102" s="44">
        <v>1.6188597764999499</v>
      </c>
      <c r="J102" s="75">
        <f t="shared" si="4"/>
        <v>1.5639200535272964E-2</v>
      </c>
      <c r="K102" s="75">
        <f t="shared" si="5"/>
        <v>1.5274716484907795</v>
      </c>
      <c r="L102" s="44">
        <f t="shared" si="6"/>
        <v>41.577634439163496</v>
      </c>
      <c r="M102" s="65">
        <f t="shared" si="7"/>
        <v>4.8122262082365156E-4</v>
      </c>
    </row>
    <row r="103" spans="1:13" x14ac:dyDescent="0.25">
      <c r="A103">
        <v>77.81</v>
      </c>
      <c r="B103">
        <v>22.19</v>
      </c>
      <c r="C103">
        <v>0</v>
      </c>
      <c r="D103">
        <v>1.62</v>
      </c>
      <c r="E103" s="44">
        <v>4.6395163915582502E-2</v>
      </c>
      <c r="F103" s="44">
        <v>0.33548751802631499</v>
      </c>
      <c r="G103" s="44">
        <v>-1.6022465445812599</v>
      </c>
      <c r="H103" s="44">
        <v>0.24488490487395301</v>
      </c>
      <c r="I103" s="44">
        <v>1.99310115541916</v>
      </c>
      <c r="J103" s="75">
        <f t="shared" si="4"/>
        <v>2.4989263437633396E-2</v>
      </c>
      <c r="K103" s="75">
        <f t="shared" si="5"/>
        <v>1.7574577972362657</v>
      </c>
      <c r="L103" s="44">
        <f t="shared" si="6"/>
        <v>98.424032729873076</v>
      </c>
      <c r="M103" s="65">
        <f t="shared" si="7"/>
        <v>1.1391670454846421E-3</v>
      </c>
    </row>
    <row r="104" spans="1:13" x14ac:dyDescent="0.25">
      <c r="A104">
        <v>63.54</v>
      </c>
      <c r="B104">
        <v>36.46</v>
      </c>
      <c r="C104">
        <v>0</v>
      </c>
      <c r="D104">
        <v>1.62</v>
      </c>
      <c r="E104" s="44">
        <v>4.7147454627929103E-2</v>
      </c>
      <c r="F104" s="44">
        <v>0.33107533642977699</v>
      </c>
      <c r="G104" s="44">
        <v>-1.7567899121922601</v>
      </c>
      <c r="H104" s="44">
        <v>0.18919373265057399</v>
      </c>
      <c r="I104" s="44">
        <v>1.6683805921916199</v>
      </c>
      <c r="J104" s="75">
        <f t="shared" si="4"/>
        <v>1.7506933730792981E-2</v>
      </c>
      <c r="K104" s="75">
        <f t="shared" si="5"/>
        <v>1.5459439095462562</v>
      </c>
      <c r="L104" s="44">
        <f t="shared" si="6"/>
        <v>46.599428682348375</v>
      </c>
      <c r="M104" s="65">
        <f t="shared" si="7"/>
        <v>5.3934523937903211E-4</v>
      </c>
    </row>
    <row r="105" spans="1:13" x14ac:dyDescent="0.25">
      <c r="A105">
        <v>68.97</v>
      </c>
      <c r="B105">
        <v>31.03</v>
      </c>
      <c r="C105">
        <v>0</v>
      </c>
      <c r="D105">
        <v>1.62</v>
      </c>
      <c r="E105" s="44">
        <v>4.6891135331659201E-2</v>
      </c>
      <c r="F105" s="44">
        <v>0.33235902249338001</v>
      </c>
      <c r="G105" s="44">
        <v>-1.69516236938161</v>
      </c>
      <c r="H105" s="44">
        <v>0.20185174912467899</v>
      </c>
      <c r="I105" s="44">
        <v>1.75913422689629</v>
      </c>
      <c r="J105" s="75">
        <f t="shared" si="4"/>
        <v>2.0176118994706928E-2</v>
      </c>
      <c r="K105" s="75">
        <f t="shared" si="5"/>
        <v>1.5916653030301933</v>
      </c>
      <c r="L105" s="44">
        <f t="shared" si="6"/>
        <v>57.429393114598923</v>
      </c>
      <c r="M105" s="65">
        <f t="shared" si="7"/>
        <v>6.6469204993748756E-4</v>
      </c>
    </row>
    <row r="106" spans="1:13" x14ac:dyDescent="0.25">
      <c r="A106">
        <v>55.73</v>
      </c>
      <c r="B106">
        <v>44.27</v>
      </c>
      <c r="C106">
        <v>0</v>
      </c>
      <c r="D106">
        <v>1.62</v>
      </c>
      <c r="E106" s="44">
        <v>4.7494775203571898E-2</v>
      </c>
      <c r="F106" s="44">
        <v>0.33019394404164198</v>
      </c>
      <c r="G106" s="44">
        <v>-1.8532486128085801</v>
      </c>
      <c r="H106" s="44">
        <v>0.181614670140544</v>
      </c>
      <c r="I106" s="44">
        <v>1.5837050769791901</v>
      </c>
      <c r="J106" s="75">
        <f t="shared" si="4"/>
        <v>1.4020108906531865E-2</v>
      </c>
      <c r="K106" s="75">
        <f t="shared" si="5"/>
        <v>1.5191990149794612</v>
      </c>
      <c r="L106" s="44">
        <f t="shared" si="6"/>
        <v>38.344676397727909</v>
      </c>
      <c r="M106" s="65">
        <f t="shared" si="7"/>
        <v>4.4380412497370267E-4</v>
      </c>
    </row>
    <row r="107" spans="1:13" x14ac:dyDescent="0.25">
      <c r="A107">
        <v>70.11</v>
      </c>
      <c r="B107">
        <v>29.89</v>
      </c>
      <c r="C107">
        <v>0</v>
      </c>
      <c r="D107">
        <v>1.62</v>
      </c>
      <c r="E107" s="44">
        <v>4.6833043256214797E-2</v>
      </c>
      <c r="F107" s="44">
        <v>0.33269645460028102</v>
      </c>
      <c r="G107" s="44">
        <v>-1.6827048771953499</v>
      </c>
      <c r="H107" s="44">
        <v>0.20556631839386</v>
      </c>
      <c r="I107" s="44">
        <v>1.7826002793493401</v>
      </c>
      <c r="J107" s="75">
        <f t="shared" si="4"/>
        <v>2.0763239945173716E-2</v>
      </c>
      <c r="K107" s="75">
        <f t="shared" si="5"/>
        <v>1.6053373804109938</v>
      </c>
      <c r="L107" s="44">
        <f t="shared" si="6"/>
        <v>60.617815195589145</v>
      </c>
      <c r="M107" s="65">
        <f t="shared" si="7"/>
        <v>7.0159508328228174E-4</v>
      </c>
    </row>
    <row r="108" spans="1:13" x14ac:dyDescent="0.25">
      <c r="A108">
        <v>93.11</v>
      </c>
      <c r="B108">
        <v>6.89</v>
      </c>
      <c r="C108">
        <v>0</v>
      </c>
      <c r="D108">
        <v>1.62</v>
      </c>
      <c r="E108" s="44">
        <v>4.5564049968637999E-2</v>
      </c>
      <c r="F108" s="44">
        <v>0.341755328627874</v>
      </c>
      <c r="G108" s="44">
        <v>-1.4593643536199901</v>
      </c>
      <c r="H108" s="44">
        <v>0.46995510184741102</v>
      </c>
      <c r="I108" s="44">
        <v>2.7476886549569199</v>
      </c>
      <c r="J108" s="75">
        <f t="shared" si="4"/>
        <v>3.4724471644026741E-2</v>
      </c>
      <c r="K108" s="75">
        <f t="shared" si="5"/>
        <v>2.9509041410650392</v>
      </c>
      <c r="L108" s="44">
        <f t="shared" si="6"/>
        <v>559.35645594293248</v>
      </c>
      <c r="M108" s="65">
        <f t="shared" si="7"/>
        <v>6.4740330548950517E-3</v>
      </c>
    </row>
    <row r="109" spans="1:13" x14ac:dyDescent="0.25">
      <c r="A109">
        <v>49.36</v>
      </c>
      <c r="B109">
        <v>41.13</v>
      </c>
      <c r="C109">
        <v>9.51</v>
      </c>
      <c r="D109">
        <v>1.62</v>
      </c>
      <c r="E109" s="44">
        <v>6.1820761555260603E-2</v>
      </c>
      <c r="F109" s="44">
        <v>0.34121218837433398</v>
      </c>
      <c r="G109" s="44">
        <v>-1.9508985343277401</v>
      </c>
      <c r="H109" s="44">
        <v>0.152214780963875</v>
      </c>
      <c r="I109" s="44">
        <v>1.19596453037442</v>
      </c>
      <c r="J109" s="75">
        <f t="shared" si="4"/>
        <v>1.1196994520380891E-2</v>
      </c>
      <c r="K109" s="75">
        <f t="shared" si="5"/>
        <v>1.4197594922039021</v>
      </c>
      <c r="L109" s="44">
        <f t="shared" si="6"/>
        <v>15.702345551650518</v>
      </c>
      <c r="M109" s="65">
        <f t="shared" si="7"/>
        <v>1.8174011055151063E-4</v>
      </c>
    </row>
    <row r="110" spans="1:13" x14ac:dyDescent="0.25">
      <c r="A110">
        <v>52.54</v>
      </c>
      <c r="B110">
        <v>44.2</v>
      </c>
      <c r="C110">
        <v>3.26</v>
      </c>
      <c r="D110">
        <v>1.62</v>
      </c>
      <c r="E110" s="44">
        <v>5.19487916757519E-2</v>
      </c>
      <c r="F110" s="44">
        <v>0.33375459624495801</v>
      </c>
      <c r="G110" s="44">
        <v>-1.90155919403342</v>
      </c>
      <c r="H110" s="44">
        <v>0.16992049750614699</v>
      </c>
      <c r="I110" s="44">
        <v>1.43799190843625</v>
      </c>
      <c r="J110" s="75">
        <f t="shared" si="4"/>
        <v>1.2544137504907509E-2</v>
      </c>
      <c r="K110" s="75">
        <f t="shared" si="5"/>
        <v>1.4788376455091334</v>
      </c>
      <c r="L110" s="44">
        <f t="shared" si="6"/>
        <v>27.415230927259689</v>
      </c>
      <c r="M110" s="65">
        <f t="shared" si="7"/>
        <v>3.1730591350995012E-4</v>
      </c>
    </row>
    <row r="111" spans="1:13" x14ac:dyDescent="0.25">
      <c r="A111">
        <v>58.07</v>
      </c>
      <c r="B111">
        <v>39.29</v>
      </c>
      <c r="C111">
        <v>2.65</v>
      </c>
      <c r="D111">
        <v>1.62</v>
      </c>
      <c r="E111" s="44">
        <v>5.0903335399632099E-2</v>
      </c>
      <c r="F111" s="44">
        <v>0.33360592128039401</v>
      </c>
      <c r="G111" s="44">
        <v>-1.8299262355200301</v>
      </c>
      <c r="H111" s="44">
        <v>0.17354810519598801</v>
      </c>
      <c r="I111" s="44">
        <v>1.51034143173854</v>
      </c>
      <c r="J111" s="75">
        <f t="shared" si="4"/>
        <v>1.4793596345733242E-2</v>
      </c>
      <c r="K111" s="75">
        <f t="shared" si="5"/>
        <v>1.4912419256661158</v>
      </c>
      <c r="L111" s="44">
        <f t="shared" si="6"/>
        <v>32.384815840551497</v>
      </c>
      <c r="M111" s="65">
        <f t="shared" si="7"/>
        <v>3.7482425741379048E-4</v>
      </c>
    </row>
    <row r="112" spans="1:13" x14ac:dyDescent="0.25">
      <c r="A112">
        <v>51.92</v>
      </c>
      <c r="B112">
        <v>39.840000000000003</v>
      </c>
      <c r="C112">
        <v>8.24</v>
      </c>
      <c r="D112">
        <v>1.62</v>
      </c>
      <c r="E112" s="44">
        <v>5.9604612837773303E-2</v>
      </c>
      <c r="F112" s="44">
        <v>0.33997403334693799</v>
      </c>
      <c r="G112" s="44">
        <v>-1.9166997897368201</v>
      </c>
      <c r="H112" s="44">
        <v>0.15519707286055501</v>
      </c>
      <c r="I112" s="44">
        <v>1.2615129255127799</v>
      </c>
      <c r="J112" s="75">
        <f t="shared" si="4"/>
        <v>1.2114352605276962E-2</v>
      </c>
      <c r="K112" s="75">
        <f t="shared" si="5"/>
        <v>1.4295425049057351</v>
      </c>
      <c r="L112" s="44">
        <f t="shared" si="6"/>
        <v>18.260510953688421</v>
      </c>
      <c r="M112" s="65">
        <f t="shared" si="7"/>
        <v>2.113485064084308E-4</v>
      </c>
    </row>
    <row r="113" spans="1:13" x14ac:dyDescent="0.25">
      <c r="A113">
        <v>75.39</v>
      </c>
      <c r="B113">
        <v>24.61</v>
      </c>
      <c r="C113">
        <v>0</v>
      </c>
      <c r="D113">
        <v>1.62</v>
      </c>
      <c r="E113" s="44">
        <v>4.6540663962712399E-2</v>
      </c>
      <c r="F113" s="44">
        <v>0.334528496789396</v>
      </c>
      <c r="G113" s="44">
        <v>-1.6269010579035199</v>
      </c>
      <c r="H113" s="44">
        <v>0.229327707606724</v>
      </c>
      <c r="I113" s="44">
        <v>1.91607706061022</v>
      </c>
      <c r="J113" s="75">
        <f t="shared" si="4"/>
        <v>2.3610160647232266E-2</v>
      </c>
      <c r="K113" s="75">
        <f t="shared" si="5"/>
        <v>1.6956167872850949</v>
      </c>
      <c r="L113" s="44">
        <f t="shared" si="6"/>
        <v>82.428436191105462</v>
      </c>
      <c r="M113" s="65">
        <f t="shared" si="7"/>
        <v>9.5403282628594283E-4</v>
      </c>
    </row>
    <row r="114" spans="1:13" x14ac:dyDescent="0.25">
      <c r="A114">
        <v>52.38</v>
      </c>
      <c r="B114">
        <v>36</v>
      </c>
      <c r="C114">
        <v>11.63</v>
      </c>
      <c r="D114">
        <v>1.62</v>
      </c>
      <c r="E114" s="44">
        <v>6.5487735435799596E-2</v>
      </c>
      <c r="F114" s="44">
        <v>0.344857864082664</v>
      </c>
      <c r="G114" s="44">
        <v>-1.9152612703465099</v>
      </c>
      <c r="H114" s="44">
        <v>0.14630801693342399</v>
      </c>
      <c r="I114" s="44">
        <v>1.16255623848124</v>
      </c>
      <c r="J114" s="75">
        <f t="shared" si="4"/>
        <v>1.2154545665838824E-2</v>
      </c>
      <c r="K114" s="75">
        <f t="shared" si="5"/>
        <v>1.4005803112559085</v>
      </c>
      <c r="L114" s="44">
        <f t="shared" si="6"/>
        <v>14.539726539904157</v>
      </c>
      <c r="M114" s="65">
        <f t="shared" si="7"/>
        <v>1.6828387198963144E-4</v>
      </c>
    </row>
    <row r="115" spans="1:13" x14ac:dyDescent="0.25">
      <c r="A115">
        <v>57.37</v>
      </c>
      <c r="B115">
        <v>39.61</v>
      </c>
      <c r="C115">
        <v>3.02</v>
      </c>
      <c r="D115">
        <v>1.62</v>
      </c>
      <c r="E115" s="44">
        <v>5.1445800243975499E-2</v>
      </c>
      <c r="F115" s="44">
        <v>0.33399039815326997</v>
      </c>
      <c r="G115" s="44">
        <v>-1.8393458949375701</v>
      </c>
      <c r="H115" s="44">
        <v>0.17190164658351401</v>
      </c>
      <c r="I115" s="44">
        <v>1.4903723227414001</v>
      </c>
      <c r="J115" s="75">
        <f t="shared" si="4"/>
        <v>1.4476184349235305E-2</v>
      </c>
      <c r="K115" s="75">
        <f t="shared" si="5"/>
        <v>1.4855991648374687</v>
      </c>
      <c r="L115" s="44">
        <f t="shared" si="6"/>
        <v>30.929458935673143</v>
      </c>
      <c r="M115" s="65">
        <f t="shared" si="7"/>
        <v>3.5797984879251324E-4</v>
      </c>
    </row>
    <row r="116" spans="1:13" x14ac:dyDescent="0.25">
      <c r="A116">
        <v>55.39</v>
      </c>
      <c r="B116">
        <v>40.729999999999997</v>
      </c>
      <c r="C116">
        <v>3.88</v>
      </c>
      <c r="D116">
        <v>1.62</v>
      </c>
      <c r="E116" s="44">
        <v>5.27352003451683E-2</v>
      </c>
      <c r="F116" s="44">
        <v>0.33480817741319602</v>
      </c>
      <c r="G116" s="44">
        <v>-1.8658688318387999</v>
      </c>
      <c r="H116" s="44">
        <v>0.16831600634709101</v>
      </c>
      <c r="I116" s="44">
        <v>1.4410543928805799</v>
      </c>
      <c r="J116" s="75">
        <f t="shared" si="4"/>
        <v>1.3618559360584955E-2</v>
      </c>
      <c r="K116" s="75">
        <f t="shared" si="5"/>
        <v>1.473384193244089</v>
      </c>
      <c r="L116" s="44">
        <f t="shared" si="6"/>
        <v>27.609236243371154</v>
      </c>
      <c r="M116" s="65">
        <f t="shared" si="7"/>
        <v>3.1955134540938838E-4</v>
      </c>
    </row>
    <row r="117" spans="1:13" x14ac:dyDescent="0.25">
      <c r="A117">
        <v>49.88</v>
      </c>
      <c r="B117">
        <v>45.88</v>
      </c>
      <c r="C117">
        <v>4.25</v>
      </c>
      <c r="D117">
        <v>1.62</v>
      </c>
      <c r="E117" s="44">
        <v>5.3466349343855898E-2</v>
      </c>
      <c r="F117" s="44">
        <v>0.334758908283184</v>
      </c>
      <c r="G117" s="44">
        <v>-1.9387033980251001</v>
      </c>
      <c r="H117" s="44">
        <v>0.167215184009852</v>
      </c>
      <c r="I117" s="44">
        <v>1.38171171475496</v>
      </c>
      <c r="J117" s="75">
        <f t="shared" si="4"/>
        <v>1.1515865979906255E-2</v>
      </c>
      <c r="K117" s="75">
        <f t="shared" si="5"/>
        <v>1.4696542808320934</v>
      </c>
      <c r="L117" s="44">
        <f t="shared" si="6"/>
        <v>24.083062611349337</v>
      </c>
      <c r="M117" s="65">
        <f t="shared" si="7"/>
        <v>2.7873915059432105E-4</v>
      </c>
    </row>
    <row r="118" spans="1:13" x14ac:dyDescent="0.25">
      <c r="A118">
        <v>50.78</v>
      </c>
      <c r="B118">
        <v>38.630000000000003</v>
      </c>
      <c r="C118">
        <v>10.59</v>
      </c>
      <c r="D118">
        <v>1.62</v>
      </c>
      <c r="E118" s="44">
        <v>6.3664385976707497E-2</v>
      </c>
      <c r="F118" s="44">
        <v>0.34296765848033001</v>
      </c>
      <c r="G118" s="44">
        <v>-1.9337301117849299</v>
      </c>
      <c r="H118" s="44">
        <v>0.149078139290475</v>
      </c>
      <c r="I118" s="44">
        <v>1.1759939038845</v>
      </c>
      <c r="J118" s="75">
        <f t="shared" si="4"/>
        <v>1.1648496893988785E-2</v>
      </c>
      <c r="K118" s="75">
        <f t="shared" si="5"/>
        <v>1.4095423838082108</v>
      </c>
      <c r="L118" s="44">
        <f t="shared" si="6"/>
        <v>14.996637848370119</v>
      </c>
      <c r="M118" s="65">
        <f t="shared" si="7"/>
        <v>1.735721973190986E-4</v>
      </c>
    </row>
    <row r="119" spans="1:13" x14ac:dyDescent="0.25">
      <c r="A119">
        <v>63.03</v>
      </c>
      <c r="B119">
        <v>36.97</v>
      </c>
      <c r="C119">
        <v>0</v>
      </c>
      <c r="D119">
        <v>1.62</v>
      </c>
      <c r="E119" s="44">
        <v>4.7170181070384301E-2</v>
      </c>
      <c r="F119" s="44">
        <v>0.330983070079093</v>
      </c>
      <c r="G119" s="44">
        <v>-1.7627885089495099</v>
      </c>
      <c r="H119" s="44">
        <v>0.188364957459174</v>
      </c>
      <c r="I119" s="44">
        <v>1.66141269547075</v>
      </c>
      <c r="J119" s="75">
        <f t="shared" si="4"/>
        <v>1.7266785385361787E-2</v>
      </c>
      <c r="K119" s="75">
        <f t="shared" si="5"/>
        <v>1.5429965586616272</v>
      </c>
      <c r="L119" s="44">
        <f t="shared" si="6"/>
        <v>45.857745049177382</v>
      </c>
      <c r="M119" s="65">
        <f t="shared" si="7"/>
        <v>5.3076093806918268E-4</v>
      </c>
    </row>
    <row r="120" spans="1:13" x14ac:dyDescent="0.25">
      <c r="A120">
        <v>69.92</v>
      </c>
      <c r="B120">
        <v>30.08</v>
      </c>
      <c r="C120">
        <v>0</v>
      </c>
      <c r="D120">
        <v>1.62</v>
      </c>
      <c r="E120" s="44">
        <v>4.6842844815990797E-2</v>
      </c>
      <c r="F120" s="44">
        <v>0.332638657473872</v>
      </c>
      <c r="G120" s="44">
        <v>-1.6847703398940901</v>
      </c>
      <c r="H120" s="44">
        <v>0.20491741424750401</v>
      </c>
      <c r="I120" s="44">
        <v>1.7785698208888401</v>
      </c>
      <c r="J120" s="75">
        <f t="shared" si="4"/>
        <v>2.0664726423244628E-2</v>
      </c>
      <c r="K120" s="75">
        <f t="shared" si="5"/>
        <v>1.6029405453737786</v>
      </c>
      <c r="L120" s="44">
        <f t="shared" si="6"/>
        <v>60.057855528270942</v>
      </c>
      <c r="M120" s="65">
        <f t="shared" si="7"/>
        <v>6.9511406861424703E-4</v>
      </c>
    </row>
    <row r="121" spans="1:13" x14ac:dyDescent="0.25">
      <c r="A121">
        <v>65.73</v>
      </c>
      <c r="B121">
        <v>34.270000000000003</v>
      </c>
      <c r="C121">
        <v>0</v>
      </c>
      <c r="D121">
        <v>1.62</v>
      </c>
      <c r="E121" s="44">
        <v>4.7047622467918902E-2</v>
      </c>
      <c r="F121" s="44">
        <v>0.33152716973363699</v>
      </c>
      <c r="G121" s="44">
        <v>-1.73145681082937</v>
      </c>
      <c r="H121" s="44">
        <v>0.19340203901448499</v>
      </c>
      <c r="I121" s="44">
        <v>1.7011418884137499</v>
      </c>
      <c r="J121" s="75">
        <f t="shared" si="4"/>
        <v>1.8558513586254301E-2</v>
      </c>
      <c r="K121" s="75">
        <f t="shared" si="5"/>
        <v>1.5609968943250787</v>
      </c>
      <c r="L121" s="44">
        <f t="shared" si="6"/>
        <v>50.250673675616092</v>
      </c>
      <c r="M121" s="65">
        <f t="shared" si="7"/>
        <v>5.8160501939370475E-4</v>
      </c>
    </row>
    <row r="122" spans="1:13" x14ac:dyDescent="0.25">
      <c r="A122">
        <v>48.5</v>
      </c>
      <c r="B122">
        <v>41.24</v>
      </c>
      <c r="C122">
        <v>10.25</v>
      </c>
      <c r="D122">
        <v>1.62</v>
      </c>
      <c r="E122" s="44">
        <v>6.3133883316042902E-2</v>
      </c>
      <c r="F122" s="44">
        <v>0.342062189805173</v>
      </c>
      <c r="G122" s="44">
        <v>-1.9625834942614899</v>
      </c>
      <c r="H122" s="44">
        <v>0.150510685619829</v>
      </c>
      <c r="I122" s="44">
        <v>1.1642670307854901</v>
      </c>
      <c r="J122" s="75">
        <f t="shared" si="4"/>
        <v>1.0899749216822604E-2</v>
      </c>
      <c r="K122" s="75">
        <f t="shared" si="5"/>
        <v>1.4141995203833835</v>
      </c>
      <c r="L122" s="44">
        <f t="shared" si="6"/>
        <v>14.597115042368683</v>
      </c>
      <c r="M122" s="65">
        <f t="shared" si="7"/>
        <v>1.6894809076815605E-4</v>
      </c>
    </row>
    <row r="123" spans="1:13" x14ac:dyDescent="0.25">
      <c r="A123">
        <v>53.23</v>
      </c>
      <c r="B123">
        <v>46.77</v>
      </c>
      <c r="C123">
        <v>0</v>
      </c>
      <c r="D123">
        <v>1.62</v>
      </c>
      <c r="E123" s="44">
        <v>4.7620787994503901E-2</v>
      </c>
      <c r="F123" s="44">
        <v>0.330162185247655</v>
      </c>
      <c r="G123" s="44">
        <v>-1.8863251414023401</v>
      </c>
      <c r="H123" s="44">
        <v>0.18110840854889601</v>
      </c>
      <c r="I123" s="44">
        <v>1.5644978148619</v>
      </c>
      <c r="J123" s="75">
        <f t="shared" si="4"/>
        <v>1.2991965498879083E-2</v>
      </c>
      <c r="K123" s="75">
        <f t="shared" si="5"/>
        <v>1.517429100701178</v>
      </c>
      <c r="L123" s="44">
        <f t="shared" si="6"/>
        <v>36.685784860375414</v>
      </c>
      <c r="M123" s="65">
        <f t="shared" si="7"/>
        <v>4.2460399143953026E-4</v>
      </c>
    </row>
    <row r="124" spans="1:13" x14ac:dyDescent="0.25">
      <c r="A124">
        <v>65.239999999999995</v>
      </c>
      <c r="B124">
        <v>34.76</v>
      </c>
      <c r="C124">
        <v>0</v>
      </c>
      <c r="D124">
        <v>1.62</v>
      </c>
      <c r="E124" s="44">
        <v>4.70703170944686E-2</v>
      </c>
      <c r="F124" s="44">
        <v>0.331418248569256</v>
      </c>
      <c r="G124" s="44">
        <v>-1.7370665176344899</v>
      </c>
      <c r="H124" s="44">
        <v>0.19236432855904401</v>
      </c>
      <c r="I124" s="44">
        <v>1.6933932601316799</v>
      </c>
      <c r="J124" s="75">
        <f t="shared" si="4"/>
        <v>1.8320338019793898E-2</v>
      </c>
      <c r="K124" s="75">
        <f t="shared" si="5"/>
        <v>1.5572714749553127</v>
      </c>
      <c r="L124" s="44">
        <f t="shared" si="6"/>
        <v>49.362058244279368</v>
      </c>
      <c r="M124" s="65">
        <f t="shared" si="7"/>
        <v>5.7132011856804823E-4</v>
      </c>
    </row>
    <row r="125" spans="1:13" x14ac:dyDescent="0.25">
      <c r="A125">
        <v>58.27</v>
      </c>
      <c r="B125">
        <v>41.73</v>
      </c>
      <c r="C125">
        <v>0</v>
      </c>
      <c r="D125">
        <v>1.62</v>
      </c>
      <c r="E125" s="44">
        <v>4.7378723621233701E-2</v>
      </c>
      <c r="F125" s="44">
        <v>0.33035587224586799</v>
      </c>
      <c r="G125" s="44">
        <v>-1.8207492539027601</v>
      </c>
      <c r="H125" s="44">
        <v>0.18298715526040199</v>
      </c>
      <c r="I125" s="44">
        <v>1.6066373323621199</v>
      </c>
      <c r="J125" s="75">
        <f t="shared" si="4"/>
        <v>1.5109522721636374E-2</v>
      </c>
      <c r="K125" s="75">
        <f t="shared" si="5"/>
        <v>1.5240076789181876</v>
      </c>
      <c r="L125" s="44">
        <f t="shared" si="6"/>
        <v>40.423818228036467</v>
      </c>
      <c r="M125" s="65">
        <f t="shared" si="7"/>
        <v>4.6786826652819987E-4</v>
      </c>
    </row>
    <row r="126" spans="1:13" x14ac:dyDescent="0.25">
      <c r="A126">
        <v>66.62</v>
      </c>
      <c r="B126">
        <v>33.380000000000003</v>
      </c>
      <c r="C126">
        <v>0</v>
      </c>
      <c r="D126">
        <v>1.62</v>
      </c>
      <c r="E126" s="44">
        <v>4.7005798183510701E-2</v>
      </c>
      <c r="F126" s="44">
        <v>0.33173647183028099</v>
      </c>
      <c r="G126" s="44">
        <v>-1.7213509622738601</v>
      </c>
      <c r="H126" s="44">
        <v>0.19543904595136899</v>
      </c>
      <c r="I126" s="44">
        <v>1.71587163132944</v>
      </c>
      <c r="J126" s="75">
        <f t="shared" si="4"/>
        <v>1.8995426001839143E-2</v>
      </c>
      <c r="K126" s="75">
        <f t="shared" si="5"/>
        <v>1.5683357633538035</v>
      </c>
      <c r="L126" s="44">
        <f t="shared" si="6"/>
        <v>51.984231894060962</v>
      </c>
      <c r="M126" s="65">
        <f t="shared" si="7"/>
        <v>6.0166935062570554E-4</v>
      </c>
    </row>
    <row r="127" spans="1:13" x14ac:dyDescent="0.25">
      <c r="A127">
        <v>74.5</v>
      </c>
      <c r="B127">
        <v>25.5</v>
      </c>
      <c r="C127">
        <v>0</v>
      </c>
      <c r="D127">
        <v>1.62</v>
      </c>
      <c r="E127" s="44">
        <v>4.6592599997657698E-2</v>
      </c>
      <c r="F127" s="44">
        <v>0.33419195174380401</v>
      </c>
      <c r="G127" s="44">
        <v>-1.6361047113351701</v>
      </c>
      <c r="H127" s="44">
        <v>0.22444009806649101</v>
      </c>
      <c r="I127" s="44">
        <v>1.8904351734232201</v>
      </c>
      <c r="J127" s="75">
        <f t="shared" si="4"/>
        <v>2.3115074029240588E-2</v>
      </c>
      <c r="K127" s="75">
        <f t="shared" si="5"/>
        <v>1.676641061872665</v>
      </c>
      <c r="L127" s="44">
        <f t="shared" si="6"/>
        <v>77.70253245694316</v>
      </c>
      <c r="M127" s="65">
        <f t="shared" si="7"/>
        <v>8.993348663998051E-4</v>
      </c>
    </row>
    <row r="128" spans="1:13" x14ac:dyDescent="0.25">
      <c r="A128">
        <v>30.87</v>
      </c>
      <c r="B128">
        <v>59.93</v>
      </c>
      <c r="C128">
        <v>9.19</v>
      </c>
      <c r="D128">
        <v>1.62</v>
      </c>
      <c r="E128" s="44">
        <v>6.2418761584103602E-2</v>
      </c>
      <c r="F128" s="44">
        <v>0.34628427704865999</v>
      </c>
      <c r="G128" s="44">
        <v>-2.17631397266201</v>
      </c>
      <c r="H128" s="44">
        <v>0.16617471064723899</v>
      </c>
      <c r="I128" s="44">
        <v>1.1425097950932099</v>
      </c>
      <c r="J128" s="75">
        <f t="shared" si="4"/>
        <v>6.663248762921594E-3</v>
      </c>
      <c r="K128" s="75">
        <f t="shared" si="5"/>
        <v>1.4661375291317282</v>
      </c>
      <c r="L128" s="44">
        <f t="shared" si="6"/>
        <v>13.883846232521563</v>
      </c>
      <c r="M128" s="65">
        <f t="shared" si="7"/>
        <v>1.6069266472825883E-4</v>
      </c>
    </row>
    <row r="129" spans="1:13" x14ac:dyDescent="0.25">
      <c r="A129">
        <v>94.09</v>
      </c>
      <c r="B129">
        <v>5.91</v>
      </c>
      <c r="C129">
        <v>0</v>
      </c>
      <c r="D129">
        <v>1.62</v>
      </c>
      <c r="E129" s="44">
        <v>4.5516660335389397E-2</v>
      </c>
      <c r="F129" s="44">
        <v>0.342159871137035</v>
      </c>
      <c r="G129" s="44">
        <v>-1.45143016673304</v>
      </c>
      <c r="H129" s="44">
        <v>0.49291838645582498</v>
      </c>
      <c r="I129" s="44">
        <v>2.8061691978005898</v>
      </c>
      <c r="J129" s="75">
        <f t="shared" si="4"/>
        <v>3.5364688190037699E-2</v>
      </c>
      <c r="K129" s="75">
        <f t="shared" si="5"/>
        <v>3.1111316316846236</v>
      </c>
      <c r="L129" s="44">
        <f t="shared" si="6"/>
        <v>639.98411982644654</v>
      </c>
      <c r="M129" s="65">
        <f t="shared" si="7"/>
        <v>7.4072236091023902E-3</v>
      </c>
    </row>
    <row r="130" spans="1:13" x14ac:dyDescent="0.25">
      <c r="A130">
        <v>61.2</v>
      </c>
      <c r="B130">
        <v>35.659999999999997</v>
      </c>
      <c r="C130">
        <v>3.14</v>
      </c>
      <c r="D130">
        <v>1.62</v>
      </c>
      <c r="E130" s="44">
        <v>5.1503177687833697E-2</v>
      </c>
      <c r="F130" s="44">
        <v>0.33486208505562598</v>
      </c>
      <c r="G130" s="44">
        <v>-1.7937495530479299</v>
      </c>
      <c r="H130" s="44">
        <v>0.174685768295854</v>
      </c>
      <c r="I130" s="44">
        <v>1.5306553761797499</v>
      </c>
      <c r="J130" s="75">
        <f t="shared" si="4"/>
        <v>1.6078682037815113E-2</v>
      </c>
      <c r="K130" s="75">
        <f t="shared" si="5"/>
        <v>1.4951534534694608</v>
      </c>
      <c r="L130" s="44">
        <f t="shared" si="6"/>
        <v>33.935587811787116</v>
      </c>
      <c r="M130" s="65">
        <f t="shared" si="7"/>
        <v>3.9277300708086938E-4</v>
      </c>
    </row>
    <row r="131" spans="1:13" x14ac:dyDescent="0.25">
      <c r="A131">
        <v>60.88</v>
      </c>
      <c r="B131">
        <v>35.29</v>
      </c>
      <c r="C131">
        <v>3.83</v>
      </c>
      <c r="D131">
        <v>1.62</v>
      </c>
      <c r="E131" s="44">
        <v>5.2512694769197503E-2</v>
      </c>
      <c r="F131" s="44">
        <v>0.33575610940376499</v>
      </c>
      <c r="G131" s="44">
        <v>-1.79940343343216</v>
      </c>
      <c r="H131" s="44">
        <v>0.17207598713403499</v>
      </c>
      <c r="I131" s="44">
        <v>1.5039665128606601</v>
      </c>
      <c r="J131" s="75">
        <f t="shared" si="4"/>
        <v>1.5870717694773488E-2</v>
      </c>
      <c r="K131" s="75">
        <f t="shared" si="5"/>
        <v>1.486195654499979</v>
      </c>
      <c r="L131" s="44">
        <f t="shared" si="6"/>
        <v>31.912917747175239</v>
      </c>
      <c r="M131" s="65">
        <f t="shared" si="7"/>
        <v>3.6936247392563932E-4</v>
      </c>
    </row>
    <row r="132" spans="1:13" x14ac:dyDescent="0.25">
      <c r="A132">
        <v>79.459999999999994</v>
      </c>
      <c r="B132">
        <v>20.54</v>
      </c>
      <c r="C132">
        <v>0</v>
      </c>
      <c r="D132">
        <v>1.62</v>
      </c>
      <c r="E132" s="44">
        <v>4.6293790905206599E-2</v>
      </c>
      <c r="F132" s="44">
        <v>0.3361688300574</v>
      </c>
      <c r="G132" s="44">
        <v>-1.5857263664755199</v>
      </c>
      <c r="H132" s="44">
        <v>0.25770791789153102</v>
      </c>
      <c r="I132" s="44">
        <v>2.0522052042260701</v>
      </c>
      <c r="J132" s="75">
        <f t="shared" ref="J132:J158" si="8">10^G132</f>
        <v>2.5958143774035693E-2</v>
      </c>
      <c r="K132" s="75">
        <f t="shared" ref="K132:K158" si="9">10^H132</f>
        <v>1.8101222964299883</v>
      </c>
      <c r="L132" s="44">
        <f t="shared" ref="L132:L158" si="10">10^I132</f>
        <v>112.77301830368006</v>
      </c>
      <c r="M132" s="65">
        <f t="shared" ref="M132:M158" si="11">L132/(24*60*60)</f>
        <v>1.3052432674037044E-3</v>
      </c>
    </row>
    <row r="133" spans="1:13" x14ac:dyDescent="0.25">
      <c r="A133">
        <v>79.7</v>
      </c>
      <c r="B133">
        <v>20.3</v>
      </c>
      <c r="C133">
        <v>0</v>
      </c>
      <c r="D133">
        <v>1.62</v>
      </c>
      <c r="E133" s="44">
        <v>4.6279010782096897E-2</v>
      </c>
      <c r="F133" s="44">
        <v>0.33626914923815798</v>
      </c>
      <c r="G133" s="44">
        <v>-1.58334189973776</v>
      </c>
      <c r="H133" s="44">
        <v>0.25974376857847598</v>
      </c>
      <c r="I133" s="44">
        <v>2.0612734466832201</v>
      </c>
      <c r="J133" s="75">
        <f t="shared" si="8"/>
        <v>2.610105731165142E-2</v>
      </c>
      <c r="K133" s="75">
        <f t="shared" si="9"/>
        <v>1.8186275614868834</v>
      </c>
      <c r="L133" s="44">
        <f t="shared" si="10"/>
        <v>115.15252004508541</v>
      </c>
      <c r="M133" s="65">
        <f t="shared" si="11"/>
        <v>1.3327837968181181E-3</v>
      </c>
    </row>
    <row r="134" spans="1:13" x14ac:dyDescent="0.25">
      <c r="A134">
        <v>89.28</v>
      </c>
      <c r="B134">
        <v>10.72</v>
      </c>
      <c r="C134">
        <v>0</v>
      </c>
      <c r="D134">
        <v>1.62</v>
      </c>
      <c r="E134" s="44">
        <v>4.5747546673063397E-2</v>
      </c>
      <c r="F134" s="44">
        <v>0.34020998609669501</v>
      </c>
      <c r="G134" s="44">
        <v>-1.49212533176256</v>
      </c>
      <c r="H134" s="44">
        <v>0.38928915247406698</v>
      </c>
      <c r="I134" s="44">
        <v>2.52414139787229</v>
      </c>
      <c r="J134" s="75">
        <f t="shared" si="8"/>
        <v>3.2201393666654754E-2</v>
      </c>
      <c r="K134" s="75">
        <f t="shared" si="9"/>
        <v>2.4506943666247243</v>
      </c>
      <c r="L134" s="44">
        <f t="shared" si="10"/>
        <v>334.30386517348228</v>
      </c>
      <c r="M134" s="65">
        <f t="shared" si="11"/>
        <v>3.8692576987671562E-3</v>
      </c>
    </row>
    <row r="135" spans="1:13" x14ac:dyDescent="0.25">
      <c r="A135">
        <v>56.03</v>
      </c>
      <c r="B135">
        <v>43.97</v>
      </c>
      <c r="C135">
        <v>0</v>
      </c>
      <c r="D135">
        <v>1.62</v>
      </c>
      <c r="E135" s="44">
        <v>4.74805786702528E-2</v>
      </c>
      <c r="F135" s="44">
        <v>0.33020659113550899</v>
      </c>
      <c r="G135" s="44">
        <v>-1.84935134247735</v>
      </c>
      <c r="H135" s="44">
        <v>0.18172939065118099</v>
      </c>
      <c r="I135" s="44">
        <v>1.58622285038557</v>
      </c>
      <c r="J135" s="75">
        <f t="shared" si="8"/>
        <v>1.414648871697328E-2</v>
      </c>
      <c r="K135" s="75">
        <f t="shared" si="9"/>
        <v>1.519600370084899</v>
      </c>
      <c r="L135" s="44">
        <f t="shared" si="10"/>
        <v>38.567620969482199</v>
      </c>
      <c r="M135" s="65">
        <f t="shared" si="11"/>
        <v>4.4638450196159954E-4</v>
      </c>
    </row>
    <row r="136" spans="1:13" x14ac:dyDescent="0.25">
      <c r="A136">
        <v>50.33</v>
      </c>
      <c r="B136">
        <v>42.18</v>
      </c>
      <c r="C136">
        <v>7.49</v>
      </c>
      <c r="D136">
        <v>1.62</v>
      </c>
      <c r="E136" s="44">
        <v>5.84189654904433E-2</v>
      </c>
      <c r="F136" s="44">
        <v>0.33872670975841601</v>
      </c>
      <c r="G136" s="44">
        <v>-1.9363477966356699</v>
      </c>
      <c r="H136" s="44">
        <v>0.15750489453355301</v>
      </c>
      <c r="I136" s="44">
        <v>1.27148108593424</v>
      </c>
      <c r="J136" s="75">
        <f t="shared" si="8"/>
        <v>1.1578497424028295E-2</v>
      </c>
      <c r="K136" s="75">
        <f t="shared" si="9"/>
        <v>1.4371592501648376</v>
      </c>
      <c r="L136" s="44">
        <f t="shared" si="10"/>
        <v>18.684483022324745</v>
      </c>
      <c r="M136" s="65">
        <f t="shared" si="11"/>
        <v>2.1625559053616602E-4</v>
      </c>
    </row>
    <row r="137" spans="1:13" x14ac:dyDescent="0.25">
      <c r="A137">
        <v>80.25</v>
      </c>
      <c r="B137">
        <v>19.75</v>
      </c>
      <c r="C137">
        <v>0</v>
      </c>
      <c r="D137">
        <v>1.62</v>
      </c>
      <c r="E137" s="44">
        <v>4.6245179459204401E-2</v>
      </c>
      <c r="F137" s="44">
        <v>0.336499835192063</v>
      </c>
      <c r="G137" s="44">
        <v>-1.57789469131172</v>
      </c>
      <c r="H137" s="44">
        <v>0.26458546837074798</v>
      </c>
      <c r="I137" s="44">
        <v>2.0825193962598099</v>
      </c>
      <c r="J137" s="75">
        <f t="shared" si="8"/>
        <v>2.6430495721424196E-2</v>
      </c>
      <c r="K137" s="75">
        <f t="shared" si="9"/>
        <v>1.8390158332534003</v>
      </c>
      <c r="L137" s="44">
        <f t="shared" si="10"/>
        <v>120.92591891132707</v>
      </c>
      <c r="M137" s="65">
        <f t="shared" si="11"/>
        <v>1.3996055429551745E-3</v>
      </c>
    </row>
    <row r="138" spans="1:13" x14ac:dyDescent="0.25">
      <c r="A138">
        <v>74.59</v>
      </c>
      <c r="B138">
        <v>25.41</v>
      </c>
      <c r="C138">
        <v>0</v>
      </c>
      <c r="D138">
        <v>1.62</v>
      </c>
      <c r="E138" s="44">
        <v>4.6587393278498798E-2</v>
      </c>
      <c r="F138" s="44">
        <v>0.33422553350808698</v>
      </c>
      <c r="G138" s="44">
        <v>-1.63517050624218</v>
      </c>
      <c r="H138" s="44">
        <v>0.224915899737615</v>
      </c>
      <c r="I138" s="44">
        <v>1.89296582452701</v>
      </c>
      <c r="J138" s="75">
        <f t="shared" si="8"/>
        <v>2.3164850075140075E-2</v>
      </c>
      <c r="K138" s="75">
        <f t="shared" si="9"/>
        <v>1.6784789525396249</v>
      </c>
      <c r="L138" s="44">
        <f t="shared" si="10"/>
        <v>78.15662992042293</v>
      </c>
      <c r="M138" s="65">
        <f t="shared" si="11"/>
        <v>9.045906240789691E-4</v>
      </c>
    </row>
    <row r="139" spans="1:13" x14ac:dyDescent="0.25">
      <c r="A139">
        <v>43.58</v>
      </c>
      <c r="B139">
        <v>46.94</v>
      </c>
      <c r="C139">
        <v>9.48</v>
      </c>
      <c r="D139">
        <v>1.62</v>
      </c>
      <c r="E139" s="44">
        <v>6.1992503970774097E-2</v>
      </c>
      <c r="F139" s="44">
        <v>0.34084269220605901</v>
      </c>
      <c r="G139" s="44">
        <v>-2.0271704722063499</v>
      </c>
      <c r="H139" s="44">
        <v>0.15501140533402499</v>
      </c>
      <c r="I139" s="44">
        <v>1.15278455494862</v>
      </c>
      <c r="J139" s="75">
        <f t="shared" si="8"/>
        <v>9.3935451640272498E-3</v>
      </c>
      <c r="K139" s="75">
        <f t="shared" si="9"/>
        <v>1.4289314842627716</v>
      </c>
      <c r="L139" s="44">
        <f t="shared" si="10"/>
        <v>14.216233724421071</v>
      </c>
      <c r="M139" s="65">
        <f t="shared" si="11"/>
        <v>1.6453974218079943E-4</v>
      </c>
    </row>
    <row r="140" spans="1:13" x14ac:dyDescent="0.25">
      <c r="A140">
        <v>46.13</v>
      </c>
      <c r="B140">
        <v>44</v>
      </c>
      <c r="C140">
        <v>9.8800000000000008</v>
      </c>
      <c r="D140">
        <v>1.62</v>
      </c>
      <c r="E140" s="44">
        <v>6.2568853223109497E-2</v>
      </c>
      <c r="F140" s="44">
        <v>0.34127214499660702</v>
      </c>
      <c r="G140" s="44">
        <v>-1.9938751930493099</v>
      </c>
      <c r="H140" s="44">
        <v>0.152502778823072</v>
      </c>
      <c r="I140" s="44">
        <v>1.1558348953538899</v>
      </c>
      <c r="J140" s="75">
        <f t="shared" si="8"/>
        <v>1.0142028040674274E-2</v>
      </c>
      <c r="K140" s="75">
        <f t="shared" si="9"/>
        <v>1.4207013031551179</v>
      </c>
      <c r="L140" s="44">
        <f t="shared" si="10"/>
        <v>14.316435314667919</v>
      </c>
      <c r="M140" s="65">
        <f t="shared" si="11"/>
        <v>1.6569948280865647E-4</v>
      </c>
    </row>
    <row r="141" spans="1:13" x14ac:dyDescent="0.25">
      <c r="A141">
        <v>83.46</v>
      </c>
      <c r="B141">
        <v>16.54</v>
      </c>
      <c r="C141">
        <v>0</v>
      </c>
      <c r="D141">
        <v>1.62</v>
      </c>
      <c r="E141" s="44">
        <v>4.6052492920103903E-2</v>
      </c>
      <c r="F141" s="44">
        <v>0.33785033437491002</v>
      </c>
      <c r="G141" s="44">
        <v>-1.5465653927740599</v>
      </c>
      <c r="H141" s="44">
        <v>0.29837308805469898</v>
      </c>
      <c r="I141" s="44">
        <v>2.21987381785048</v>
      </c>
      <c r="J141" s="75">
        <f t="shared" si="8"/>
        <v>2.8407604125895769E-2</v>
      </c>
      <c r="K141" s="75">
        <f t="shared" si="9"/>
        <v>1.98780183902114</v>
      </c>
      <c r="L141" s="44">
        <f t="shared" si="10"/>
        <v>165.91047925744837</v>
      </c>
      <c r="M141" s="65">
        <f t="shared" si="11"/>
        <v>1.9202601765908377E-3</v>
      </c>
    </row>
    <row r="142" spans="1:13" x14ac:dyDescent="0.25">
      <c r="A142">
        <v>76.37</v>
      </c>
      <c r="B142">
        <v>23.63</v>
      </c>
      <c r="C142">
        <v>0</v>
      </c>
      <c r="D142">
        <v>1.62</v>
      </c>
      <c r="E142" s="44">
        <v>4.6482406988688198E-2</v>
      </c>
      <c r="F142" s="44">
        <v>0.33490979898240197</v>
      </c>
      <c r="G142" s="44">
        <v>-1.6168534169426101</v>
      </c>
      <c r="H142" s="44">
        <v>0.235205288876563</v>
      </c>
      <c r="I142" s="44">
        <v>1.9459449825285</v>
      </c>
      <c r="J142" s="75">
        <f t="shared" si="8"/>
        <v>2.4162762382958003E-2</v>
      </c>
      <c r="K142" s="75">
        <f t="shared" si="9"/>
        <v>1.7187206260018937</v>
      </c>
      <c r="L142" s="44">
        <f t="shared" si="10"/>
        <v>88.296803681451905</v>
      </c>
      <c r="M142" s="65">
        <f t="shared" si="11"/>
        <v>1.0219537463131007E-3</v>
      </c>
    </row>
    <row r="143" spans="1:13" x14ac:dyDescent="0.25">
      <c r="A143">
        <v>93.5</v>
      </c>
      <c r="B143">
        <v>6.5</v>
      </c>
      <c r="C143">
        <v>0</v>
      </c>
      <c r="D143">
        <v>1.62</v>
      </c>
      <c r="E143" s="44">
        <v>4.55451669934505E-2</v>
      </c>
      <c r="F143" s="44">
        <v>0.34191576286763797</v>
      </c>
      <c r="G143" s="44">
        <v>-1.45618851659627</v>
      </c>
      <c r="H143" s="44">
        <v>0.478981737479658</v>
      </c>
      <c r="I143" s="44">
        <v>2.7709135985839799</v>
      </c>
      <c r="J143" s="75">
        <f t="shared" si="8"/>
        <v>3.4979329736731776E-2</v>
      </c>
      <c r="K143" s="75">
        <f t="shared" si="9"/>
        <v>3.0128793269122989</v>
      </c>
      <c r="L143" s="44">
        <f t="shared" si="10"/>
        <v>590.08367334545881</v>
      </c>
      <c r="M143" s="65">
        <f t="shared" si="11"/>
        <v>6.8296721452020693E-3</v>
      </c>
    </row>
    <row r="144" spans="1:13" x14ac:dyDescent="0.25">
      <c r="A144">
        <v>78.73</v>
      </c>
      <c r="B144">
        <v>21.27</v>
      </c>
      <c r="C144">
        <v>0</v>
      </c>
      <c r="D144">
        <v>1.62</v>
      </c>
      <c r="E144" s="44">
        <v>4.6338735417256298E-2</v>
      </c>
      <c r="F144" s="44">
        <v>0.33586536812307599</v>
      </c>
      <c r="G144" s="44">
        <v>-1.5930076231217201</v>
      </c>
      <c r="H144" s="44">
        <v>0.25178955061863301</v>
      </c>
      <c r="I144" s="44">
        <v>2.0253667206772898</v>
      </c>
      <c r="J144" s="75">
        <f t="shared" si="8"/>
        <v>2.5526564957784242E-2</v>
      </c>
      <c r="K144" s="75">
        <f t="shared" si="9"/>
        <v>1.7856220926892283</v>
      </c>
      <c r="L144" s="44">
        <f t="shared" si="10"/>
        <v>106.01485426586476</v>
      </c>
      <c r="M144" s="65">
        <f t="shared" si="11"/>
        <v>1.2270237762252866E-3</v>
      </c>
    </row>
    <row r="145" spans="1:13" x14ac:dyDescent="0.25">
      <c r="A145">
        <v>63.38</v>
      </c>
      <c r="B145">
        <v>36.619999999999997</v>
      </c>
      <c r="C145">
        <v>0</v>
      </c>
      <c r="D145">
        <v>1.62</v>
      </c>
      <c r="E145" s="44">
        <v>4.7154602508398202E-2</v>
      </c>
      <c r="F145" s="44">
        <v>0.33104586332080099</v>
      </c>
      <c r="G145" s="44">
        <v>-1.75866768179088</v>
      </c>
      <c r="H145" s="44">
        <v>0.18892788976587299</v>
      </c>
      <c r="I145" s="44">
        <v>1.66616898105474</v>
      </c>
      <c r="J145" s="75">
        <f t="shared" si="8"/>
        <v>1.7431401983145599E-2</v>
      </c>
      <c r="K145" s="75">
        <f t="shared" si="9"/>
        <v>1.5449978868678849</v>
      </c>
      <c r="L145" s="44">
        <f t="shared" si="10"/>
        <v>46.36272788940235</v>
      </c>
      <c r="M145" s="65">
        <f t="shared" si="11"/>
        <v>5.3660564686808276E-4</v>
      </c>
    </row>
    <row r="146" spans="1:13" x14ac:dyDescent="0.25">
      <c r="A146">
        <v>70.709999999999994</v>
      </c>
      <c r="B146">
        <v>25.16</v>
      </c>
      <c r="C146">
        <v>4.13</v>
      </c>
      <c r="D146">
        <v>1.62</v>
      </c>
      <c r="E146" s="44">
        <v>5.2645119440302597E-2</v>
      </c>
      <c r="F146" s="44">
        <v>0.33933554087590301</v>
      </c>
      <c r="G146" s="44">
        <v>-1.6941576984191999</v>
      </c>
      <c r="H146" s="44">
        <v>0.19113831441392901</v>
      </c>
      <c r="I146" s="44">
        <v>1.66822051527005</v>
      </c>
      <c r="J146" s="75">
        <f t="shared" si="8"/>
        <v>2.0222847253862909E-2</v>
      </c>
      <c r="K146" s="75">
        <f t="shared" si="9"/>
        <v>1.5528814940092102</v>
      </c>
      <c r="L146" s="44">
        <f t="shared" si="10"/>
        <v>46.582255729847148</v>
      </c>
      <c r="M146" s="65">
        <f t="shared" si="11"/>
        <v>5.391464783547124E-4</v>
      </c>
    </row>
    <row r="147" spans="1:13" x14ac:dyDescent="0.25">
      <c r="A147">
        <v>52.7</v>
      </c>
      <c r="B147">
        <v>42.79</v>
      </c>
      <c r="C147">
        <v>4.5</v>
      </c>
      <c r="D147">
        <v>1.62</v>
      </c>
      <c r="E147" s="44">
        <v>5.3725850306999001E-2</v>
      </c>
      <c r="F147" s="44">
        <v>0.33526913419605697</v>
      </c>
      <c r="G147" s="44">
        <v>-1.9013914627594199</v>
      </c>
      <c r="H147" s="44">
        <v>0.166007951318839</v>
      </c>
      <c r="I147" s="44">
        <v>1.3951793594153099</v>
      </c>
      <c r="J147" s="75">
        <f t="shared" si="8"/>
        <v>1.2548983181314184E-2</v>
      </c>
      <c r="K147" s="75">
        <f t="shared" si="9"/>
        <v>1.4655746733134911</v>
      </c>
      <c r="L147" s="44">
        <f t="shared" si="10"/>
        <v>24.841588270133386</v>
      </c>
      <c r="M147" s="65">
        <f t="shared" si="11"/>
        <v>2.8751838275617344E-4</v>
      </c>
    </row>
    <row r="148" spans="1:13" x14ac:dyDescent="0.25">
      <c r="A148">
        <v>75.349999999999994</v>
      </c>
      <c r="B148">
        <v>24.65</v>
      </c>
      <c r="C148">
        <v>0</v>
      </c>
      <c r="D148">
        <v>1.62</v>
      </c>
      <c r="E148" s="44">
        <v>4.6543018944207502E-2</v>
      </c>
      <c r="F148" s="44">
        <v>0.33451316400465297</v>
      </c>
      <c r="G148" s="44">
        <v>-1.6273130717873501</v>
      </c>
      <c r="H148" s="44">
        <v>0.22909912574296501</v>
      </c>
      <c r="I148" s="44">
        <v>1.91489480954691</v>
      </c>
      <c r="J148" s="75">
        <f t="shared" si="8"/>
        <v>2.358777237953958E-2</v>
      </c>
      <c r="K148" s="75">
        <f t="shared" si="9"/>
        <v>1.6947245694921991</v>
      </c>
      <c r="L148" s="44">
        <f t="shared" si="10"/>
        <v>82.204351869690498</v>
      </c>
      <c r="M148" s="65">
        <f t="shared" si="11"/>
        <v>9.5143925775104739E-4</v>
      </c>
    </row>
    <row r="149" spans="1:13" x14ac:dyDescent="0.25">
      <c r="A149">
        <v>81.13</v>
      </c>
      <c r="B149">
        <v>18.87</v>
      </c>
      <c r="C149">
        <v>0</v>
      </c>
      <c r="D149">
        <v>1.62</v>
      </c>
      <c r="E149" s="44">
        <v>4.6191322142876301E-2</v>
      </c>
      <c r="F149" s="44">
        <v>0.33687043204721501</v>
      </c>
      <c r="G149" s="44">
        <v>-1.56922814087127</v>
      </c>
      <c r="H149" s="44">
        <v>0.27286937718787702</v>
      </c>
      <c r="I149" s="44">
        <v>2.1178815179211599</v>
      </c>
      <c r="J149" s="75">
        <f t="shared" si="8"/>
        <v>2.6963226449366749E-2</v>
      </c>
      <c r="K149" s="75">
        <f t="shared" si="9"/>
        <v>1.8744306505067387</v>
      </c>
      <c r="L149" s="44">
        <f t="shared" si="10"/>
        <v>131.18419599416421</v>
      </c>
      <c r="M149" s="65">
        <f t="shared" si="11"/>
        <v>1.5183356017843079E-3</v>
      </c>
    </row>
    <row r="150" spans="1:13" x14ac:dyDescent="0.25">
      <c r="A150">
        <v>63.95</v>
      </c>
      <c r="B150">
        <v>36.049999999999997</v>
      </c>
      <c r="C150">
        <v>0</v>
      </c>
      <c r="D150">
        <v>1.62</v>
      </c>
      <c r="E150" s="44">
        <v>4.7129057360323898E-2</v>
      </c>
      <c r="F150" s="44">
        <v>0.33115306108918402</v>
      </c>
      <c r="G150" s="44">
        <v>-1.7519952279714801</v>
      </c>
      <c r="H150" s="44">
        <v>0.18989979790058001</v>
      </c>
      <c r="I150" s="44">
        <v>1.6741567914472699</v>
      </c>
      <c r="J150" s="75">
        <f t="shared" si="8"/>
        <v>1.7701284083845806E-2</v>
      </c>
      <c r="K150" s="75">
        <f t="shared" si="9"/>
        <v>1.5484593111843912</v>
      </c>
      <c r="L150" s="44">
        <f t="shared" si="10"/>
        <v>47.223349889746025</v>
      </c>
      <c r="M150" s="65">
        <f t="shared" si="11"/>
        <v>5.465665496498383E-4</v>
      </c>
    </row>
    <row r="151" spans="1:13" x14ac:dyDescent="0.25">
      <c r="A151">
        <v>49.8</v>
      </c>
      <c r="B151">
        <v>44.56</v>
      </c>
      <c r="C151">
        <v>5.64</v>
      </c>
      <c r="D151">
        <v>1.62</v>
      </c>
      <c r="E151" s="44">
        <v>5.5531885949975199E-2</v>
      </c>
      <c r="F151" s="44">
        <v>0.336384287228432</v>
      </c>
      <c r="G151" s="44">
        <v>-1.94137152968337</v>
      </c>
      <c r="H151" s="44">
        <v>0.16298909941685</v>
      </c>
      <c r="I151" s="44">
        <v>1.3311451564451999</v>
      </c>
      <c r="J151" s="75">
        <f t="shared" si="8"/>
        <v>1.1445333985602706E-2</v>
      </c>
      <c r="K151" s="75">
        <f t="shared" si="9"/>
        <v>1.455422549715732</v>
      </c>
      <c r="L151" s="44">
        <f t="shared" si="10"/>
        <v>21.43606950011209</v>
      </c>
      <c r="M151" s="65">
        <f t="shared" si="11"/>
        <v>2.4810265625129733E-4</v>
      </c>
    </row>
    <row r="152" spans="1:13" x14ac:dyDescent="0.25">
      <c r="A152">
        <v>77.290000000000006</v>
      </c>
      <c r="B152">
        <v>22.71</v>
      </c>
      <c r="C152">
        <v>0</v>
      </c>
      <c r="D152">
        <v>1.62</v>
      </c>
      <c r="E152" s="44">
        <v>4.6426855682396601E-2</v>
      </c>
      <c r="F152" s="44">
        <v>0.33527675713659699</v>
      </c>
      <c r="G152" s="44">
        <v>-1.6075002870162101</v>
      </c>
      <c r="H152" s="44">
        <v>0.24123776656917401</v>
      </c>
      <c r="I152" s="44">
        <v>1.9756109950724201</v>
      </c>
      <c r="J152" s="75">
        <f t="shared" si="8"/>
        <v>2.4688784732751226E-2</v>
      </c>
      <c r="K152" s="75">
        <f t="shared" si="9"/>
        <v>1.7427607349983478</v>
      </c>
      <c r="L152" s="44">
        <f t="shared" si="10"/>
        <v>94.538998017806435</v>
      </c>
      <c r="M152" s="65">
        <f t="shared" si="11"/>
        <v>1.0942013659468338E-3</v>
      </c>
    </row>
    <row r="153" spans="1:13" x14ac:dyDescent="0.25">
      <c r="A153">
        <v>74.61</v>
      </c>
      <c r="B153">
        <v>25.39</v>
      </c>
      <c r="C153">
        <v>0</v>
      </c>
      <c r="D153">
        <v>1.62</v>
      </c>
      <c r="E153" s="44">
        <v>4.6586234811755702E-2</v>
      </c>
      <c r="F153" s="44">
        <v>0.33423301027174102</v>
      </c>
      <c r="G153" s="44">
        <v>-1.63496301325599</v>
      </c>
      <c r="H153" s="44">
        <v>0.22502218413202399</v>
      </c>
      <c r="I153" s="44">
        <v>1.8935300724069499</v>
      </c>
      <c r="J153" s="75">
        <f t="shared" si="8"/>
        <v>2.3175920195788183E-2</v>
      </c>
      <c r="K153" s="75">
        <f t="shared" si="9"/>
        <v>1.6788897750518925</v>
      </c>
      <c r="L153" s="44">
        <f t="shared" si="10"/>
        <v>78.258239254164963</v>
      </c>
      <c r="M153" s="65">
        <f t="shared" si="11"/>
        <v>9.0576665803431672E-4</v>
      </c>
    </row>
    <row r="154" spans="1:13" x14ac:dyDescent="0.25">
      <c r="A154">
        <v>89.14</v>
      </c>
      <c r="B154">
        <v>10.86</v>
      </c>
      <c r="C154">
        <v>0</v>
      </c>
      <c r="D154">
        <v>1.62</v>
      </c>
      <c r="E154" s="44">
        <v>4.5754295145420898E-2</v>
      </c>
      <c r="F154" s="44">
        <v>0.34015419676167402</v>
      </c>
      <c r="G154" s="44">
        <v>-1.49337985660836</v>
      </c>
      <c r="H154" s="44">
        <v>0.38662852613842302</v>
      </c>
      <c r="I154" s="44">
        <v>2.51618604625371</v>
      </c>
      <c r="J154" s="75">
        <f t="shared" si="8"/>
        <v>3.210850932389412E-2</v>
      </c>
      <c r="K154" s="75">
        <f t="shared" si="9"/>
        <v>2.4357265279821037</v>
      </c>
      <c r="L154" s="44">
        <f t="shared" si="10"/>
        <v>328.23587508947168</v>
      </c>
      <c r="M154" s="65">
        <f t="shared" si="11"/>
        <v>3.7990263320540705E-3</v>
      </c>
    </row>
    <row r="155" spans="1:13" x14ac:dyDescent="0.25">
      <c r="A155">
        <v>91.21</v>
      </c>
      <c r="B155">
        <v>8.7899999999999991</v>
      </c>
      <c r="C155">
        <v>0</v>
      </c>
      <c r="D155">
        <v>1.62</v>
      </c>
      <c r="E155" s="44">
        <v>4.5655343313305001E-2</v>
      </c>
      <c r="F155" s="44">
        <v>0.340982791738839</v>
      </c>
      <c r="G155" s="44">
        <v>-1.4752386106628701</v>
      </c>
      <c r="H155" s="44">
        <v>0.42809715051048502</v>
      </c>
      <c r="I155" s="44">
        <v>2.6355971828613698</v>
      </c>
      <c r="J155" s="75">
        <f t="shared" si="8"/>
        <v>3.3478145253996533E-2</v>
      </c>
      <c r="K155" s="75">
        <f t="shared" si="9"/>
        <v>2.6797677146241199</v>
      </c>
      <c r="L155" s="44">
        <f t="shared" si="10"/>
        <v>432.11285147416328</v>
      </c>
      <c r="M155" s="65">
        <f t="shared" si="11"/>
        <v>5.0013061513213344E-3</v>
      </c>
    </row>
    <row r="156" spans="1:13" x14ac:dyDescent="0.25">
      <c r="A156">
        <v>89.46</v>
      </c>
      <c r="B156">
        <v>10.54</v>
      </c>
      <c r="C156">
        <v>0</v>
      </c>
      <c r="D156">
        <v>1.62</v>
      </c>
      <c r="E156" s="44">
        <v>4.57388899578796E-2</v>
      </c>
      <c r="F156" s="44">
        <v>0.340281742712226</v>
      </c>
      <c r="G156" s="44">
        <v>-1.4905179629627101</v>
      </c>
      <c r="H156" s="44">
        <v>0.39274176448019199</v>
      </c>
      <c r="I156" s="44">
        <v>2.5343996126761201</v>
      </c>
      <c r="J156" s="75">
        <f t="shared" si="8"/>
        <v>3.2320795177819245E-2</v>
      </c>
      <c r="K156" s="75">
        <f t="shared" si="9"/>
        <v>2.4702548718203263</v>
      </c>
      <c r="L156" s="44">
        <f t="shared" si="10"/>
        <v>342.29425704207569</v>
      </c>
      <c r="M156" s="65">
        <f t="shared" si="11"/>
        <v>3.9617390861351352E-3</v>
      </c>
    </row>
    <row r="157" spans="1:13" x14ac:dyDescent="0.25">
      <c r="A157">
        <v>91.44</v>
      </c>
      <c r="B157">
        <v>8.56</v>
      </c>
      <c r="C157">
        <v>0</v>
      </c>
      <c r="D157">
        <v>1.62</v>
      </c>
      <c r="E157" s="44">
        <v>4.5644366748551997E-2</v>
      </c>
      <c r="F157" s="44">
        <v>0.34107558508288299</v>
      </c>
      <c r="G157" s="44">
        <v>-1.47327855614986</v>
      </c>
      <c r="H157" s="44">
        <v>0.43297589716945201</v>
      </c>
      <c r="I157" s="44">
        <v>2.64906110202157</v>
      </c>
      <c r="J157" s="75">
        <f t="shared" si="8"/>
        <v>3.3629580031569017E-2</v>
      </c>
      <c r="K157" s="75">
        <f t="shared" si="9"/>
        <v>2.7100412236316345</v>
      </c>
      <c r="L157" s="44">
        <f t="shared" si="10"/>
        <v>445.71895334654562</v>
      </c>
      <c r="M157" s="65">
        <f t="shared" si="11"/>
        <v>5.1587841822516856E-3</v>
      </c>
    </row>
    <row r="158" spans="1:13" x14ac:dyDescent="0.25">
      <c r="A158">
        <v>93.06</v>
      </c>
      <c r="B158">
        <v>6.94</v>
      </c>
      <c r="C158">
        <v>0</v>
      </c>
      <c r="D158">
        <v>1.62</v>
      </c>
      <c r="E158" s="44">
        <v>4.5566469778602098E-2</v>
      </c>
      <c r="F158" s="44">
        <v>0.341734810253286</v>
      </c>
      <c r="G158" s="44">
        <v>-1.4597733740438501</v>
      </c>
      <c r="H158" s="44">
        <v>0.46880852374767601</v>
      </c>
      <c r="I158" s="44">
        <v>2.7447159150656399</v>
      </c>
      <c r="J158" s="75">
        <f t="shared" si="8"/>
        <v>3.4691783381640515E-2</v>
      </c>
      <c r="K158" s="75">
        <f t="shared" si="9"/>
        <v>2.9431237528047265</v>
      </c>
      <c r="L158" s="44">
        <f t="shared" si="10"/>
        <v>555.5407426717253</v>
      </c>
      <c r="M158" s="65">
        <f t="shared" si="11"/>
        <v>6.429869706848672E-3</v>
      </c>
    </row>
    <row r="160" spans="1:13" x14ac:dyDescent="0.25">
      <c r="I160" t="s">
        <v>211</v>
      </c>
      <c r="J160" s="75">
        <f>AVERAGE(J4:J158)</f>
        <v>1.9747872448473411E-2</v>
      </c>
    </row>
    <row r="161" spans="9:10" x14ac:dyDescent="0.25">
      <c r="I161" t="s">
        <v>260</v>
      </c>
      <c r="J161" s="75">
        <f>_xlfn.PERCENTILE.INC(J4:J158,0.5)</f>
        <v>1.8524385723769375E-2</v>
      </c>
    </row>
    <row r="162" spans="9:10" x14ac:dyDescent="0.25">
      <c r="I162" t="s">
        <v>261</v>
      </c>
      <c r="J162">
        <f>_xlfn.PERCENTILE.INC(J4:J158,0.25)</f>
        <v>1.3104111636751558E-2</v>
      </c>
    </row>
    <row r="163" spans="9:10" x14ac:dyDescent="0.25">
      <c r="I163" t="s">
        <v>262</v>
      </c>
      <c r="J163">
        <f>_xlfn.PERCENTILE.INC(J4:J158,0.75)</f>
        <v>2.5806857937209476E-2</v>
      </c>
    </row>
    <row r="164" spans="9:10" x14ac:dyDescent="0.25">
      <c r="I164" t="s">
        <v>263</v>
      </c>
      <c r="J164">
        <f>_xlfn.PERCENTILE.INC(J4:J158,0.9)</f>
        <v>3.0718515214884855E-2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A46E-C594-4252-B7A7-A6CE8F8C30EC}">
  <dimension ref="A3:K18"/>
  <sheetViews>
    <sheetView tabSelected="1" workbookViewId="0">
      <selection activeCell="B8" sqref="B8"/>
    </sheetView>
  </sheetViews>
  <sheetFormatPr defaultRowHeight="15" x14ac:dyDescent="0.25"/>
  <cols>
    <col min="1" max="1" width="22.42578125" bestFit="1" customWidth="1"/>
    <col min="3" max="3" width="8" customWidth="1"/>
  </cols>
  <sheetData>
    <row r="3" spans="1:11" x14ac:dyDescent="0.25">
      <c r="A3" s="4" t="s">
        <v>210</v>
      </c>
      <c r="B3" s="4" t="s">
        <v>211</v>
      </c>
      <c r="C3" s="4" t="s">
        <v>212</v>
      </c>
      <c r="D3" s="4" t="s">
        <v>213</v>
      </c>
      <c r="E3" s="4" t="s">
        <v>214</v>
      </c>
      <c r="F3" s="4" t="s">
        <v>215</v>
      </c>
    </row>
    <row r="4" spans="1:11" ht="15.75" customHeight="1" x14ac:dyDescent="0.25">
      <c r="A4" s="29" t="s">
        <v>203</v>
      </c>
      <c r="B4" s="36">
        <v>1.910180851063829</v>
      </c>
      <c r="C4" s="36">
        <v>2.0310000000000001</v>
      </c>
      <c r="D4" s="36">
        <v>1.802</v>
      </c>
      <c r="E4" s="36">
        <v>4.8288328197693041E-2</v>
      </c>
      <c r="F4" s="36">
        <v>2.5279453602940281E-2</v>
      </c>
    </row>
    <row r="5" spans="1:11" ht="15.75" customHeight="1" x14ac:dyDescent="0.25">
      <c r="A5" s="29" t="s">
        <v>204</v>
      </c>
      <c r="B5" s="36">
        <v>1.6193829787234046</v>
      </c>
      <c r="C5" s="36">
        <v>1.7709999999999999</v>
      </c>
      <c r="D5" s="36">
        <v>1.498</v>
      </c>
      <c r="E5" s="36">
        <v>5.766180718843366E-2</v>
      </c>
      <c r="F5" s="36">
        <v>3.5607270143032957E-2</v>
      </c>
    </row>
    <row r="6" spans="1:11" x14ac:dyDescent="0.25">
      <c r="A6" s="29" t="s">
        <v>208</v>
      </c>
      <c r="B6" s="36">
        <v>0.66938704917980851</v>
      </c>
      <c r="C6" s="36">
        <v>0.80240320427236322</v>
      </c>
      <c r="D6" s="36">
        <v>0.52456239412761163</v>
      </c>
      <c r="E6" s="36">
        <v>5.9257699053139032E-2</v>
      </c>
      <c r="F6" s="36">
        <v>8.8525314503390434E-2</v>
      </c>
    </row>
    <row r="7" spans="1:11" x14ac:dyDescent="0.25">
      <c r="A7" s="29" t="s">
        <v>209</v>
      </c>
      <c r="B7" s="36">
        <v>2.019611505122143</v>
      </c>
      <c r="C7" s="36">
        <v>2.1150740740740743</v>
      </c>
      <c r="D7" s="36">
        <v>1.9431851851851853</v>
      </c>
      <c r="E7" s="36">
        <v>3.6305582303828604E-2</v>
      </c>
      <c r="F7" s="36">
        <v>1.7976517865812464E-2</v>
      </c>
    </row>
    <row r="8" spans="1:11" x14ac:dyDescent="0.25">
      <c r="A8" s="45" t="s">
        <v>200</v>
      </c>
      <c r="B8" s="4">
        <v>5.937234782608693E-5</v>
      </c>
      <c r="C8" s="47">
        <v>2.7E-4</v>
      </c>
      <c r="D8" s="4">
        <v>7.8400000000000003E-7</v>
      </c>
      <c r="E8" s="4">
        <v>8.9288231095912944E-5</v>
      </c>
      <c r="F8" s="43">
        <v>1.5038689619864016</v>
      </c>
    </row>
    <row r="9" spans="1:11" x14ac:dyDescent="0.25">
      <c r="A9" s="45" t="s">
        <v>218</v>
      </c>
      <c r="B9" s="36">
        <v>5.7717121588089317E-2</v>
      </c>
      <c r="C9" s="4">
        <v>0.18</v>
      </c>
      <c r="D9" s="4">
        <v>0</v>
      </c>
      <c r="E9" s="36">
        <v>6.1691091726461311E-2</v>
      </c>
      <c r="F9" s="36">
        <v>1.0688525350715354</v>
      </c>
    </row>
    <row r="10" spans="1:11" x14ac:dyDescent="0.25">
      <c r="A10" s="46" t="s">
        <v>219</v>
      </c>
      <c r="B10" s="36">
        <v>32.719957461892946</v>
      </c>
      <c r="C10" s="4">
        <v>36.5</v>
      </c>
      <c r="D10" s="4">
        <v>30.5</v>
      </c>
      <c r="E10" s="36">
        <v>1.6126209725855538</v>
      </c>
      <c r="F10" s="36">
        <v>4.9285546121619526E-2</v>
      </c>
    </row>
    <row r="14" spans="1:11" x14ac:dyDescent="0.25">
      <c r="J14" s="44"/>
      <c r="K14" s="44"/>
    </row>
    <row r="17" spans="10:11" x14ac:dyDescent="0.25">
      <c r="J17" s="44"/>
      <c r="K17" s="44"/>
    </row>
    <row r="18" spans="10:11" x14ac:dyDescent="0.25">
      <c r="J18" s="44"/>
      <c r="K18" s="4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Shear strength_with outliers</vt:lpstr>
      <vt:lpstr>k analysis</vt:lpstr>
      <vt:lpstr>Density</vt:lpstr>
      <vt:lpstr>Ground water table</vt:lpstr>
      <vt:lpstr>PSD</vt:lpstr>
      <vt:lpstr>PSD2</vt:lpstr>
      <vt:lpstr>Van Genuchten Parameters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Arindam Dey</dc:creator>
  <cp:lastModifiedBy>Dr. Arindam Dey</cp:lastModifiedBy>
  <dcterms:created xsi:type="dcterms:W3CDTF">2015-06-05T18:17:20Z</dcterms:created>
  <dcterms:modified xsi:type="dcterms:W3CDTF">2026-09-16T05:13:31Z</dcterms:modified>
</cp:coreProperties>
</file>